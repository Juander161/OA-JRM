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erialOH" sheetId="2" state="visible" r:id="rId2"/>
    <sheet xmlns:r="http://schemas.openxmlformats.org/officeDocument/2006/relationships" name="Correos" sheetId="3" state="visible" r:id="rId3"/>
    <sheet xmlns:r="http://schemas.openxmlformats.org/officeDocument/2006/relationships" name="Buscar" sheetId="4" state="visible" r:id="rId4"/>
  </sheets>
  <definedNames>
    <definedName name="OH_Item">tblOH[Item]</definedName>
    <definedName name="OH_Desc">tblOH[Item Description]</definedName>
    <definedName name="OH_Qty">tblOH[On-hand Qty]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49" fontId="6" fillId="3" borderId="0" pivotButton="0" quotePrefix="0" xfId="0"/>
    <xf numFmtId="0" fontId="6" fillId="3" borderId="0" pivotButton="0" quotePrefix="0" xfId="0"/>
    <xf numFmtId="3" fontId="6" fillId="3" borderId="0" pivotButton="0" quotePrefix="0" xfId="0"/>
    <xf numFmtId="0" fontId="6" fillId="3" borderId="0" applyAlignment="1" pivotButton="0" quotePrefix="0" xfId="0">
      <alignment vertical="top"/>
    </xf>
    <xf numFmtId="165" fontId="6" fillId="3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1" fontId="5" fillId="0" borderId="0" applyAlignment="1" pivotButton="0" quotePrefix="0" xfId="0">
      <alignment vertical="top"/>
    </xf>
    <xf numFmtId="0" fontId="7" fillId="0" borderId="0" pivotButton="0" quotePrefix="0" xfId="0"/>
    <xf numFmtId="0" fontId="6" fillId="4" borderId="1" pivotButton="0" quotePrefix="0" xfId="0"/>
    <xf numFmtId="3" fontId="7" fillId="0" borderId="0" pivotButton="0" quotePrefix="0" xfId="0"/>
    <xf numFmtId="0" fontId="4" fillId="2" borderId="0" pivotButton="0" quotePrefix="0" xfId="0"/>
    <xf numFmtId="49" fontId="6" fillId="4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Meta1" Type="http://schemas.openxmlformats.org/officeDocument/2006/relationships/sheetMetadata" Target="metadata.xml"/></Relationships>
</file>

<file path=xl/comments/comment1.xml><?xml version="1.0" encoding="utf-8"?>
<comments xmlns="http://schemas.openxmlformats.org/spreadsheetml/2006/main">
  <authors>
    <author>OrderApproval</author>
  </authors>
  <commentList>
    <comment ref="A1" authorId="0" shapeId="0">
      <text>
        <t>Columnas A–F: las llena el flujo de Power Automate (OA-A). Columnas G–P: fórmulas, no escribir.
Filas grises = ejemplo; bórralas con clic derecho → Eliminar → Filas de la tabla.</t>
      </text>
    </comment>
  </commentList>
</comments>
</file>

<file path=xl/tables/table1.xml><?xml version="1.0" encoding="utf-8"?>
<table xmlns="http://schemas.openxmlformats.org/spreadsheetml/2006/main" id="1" name="tblOH" displayName="tblOH" ref="A1:E7" headerRowCount="1">
  <autoFilter ref="A1:E7"/>
  <tableColumns count="5">
    <tableColumn id="1" name="Item"/>
    <tableColumn id="2" name="Item2"/>
    <tableColumn id="3" name="Locator"/>
    <tableColumn id="4" name="Item Description"/>
    <tableColumn id="5" name="On-hand Qty"/>
  </tableColumns>
  <tableStyleInfo name="TableStyleMedium2" showRowStripes="0"/>
</table>
</file>

<file path=xl/tables/table2.xml><?xml version="1.0" encoding="utf-8"?>
<table xmlns="http://schemas.openxmlformats.org/spreadsheetml/2006/main" id="2" name="tblCorreos" displayName="tblCorreos" ref="A1:P4" headerRowCount="1">
  <autoFilter ref="A1:P4"/>
  <tableColumns count="16">
    <tableColumn id="1" name="IdCorreo"/>
    <tableColumn id="2" name="Recibido"/>
    <tableColumn id="3" name="Remitente"/>
    <tableColumn id="4" name="Asunto"/>
    <tableColumn id="5" name="Cuerpo"/>
    <tableColumn id="6" name="Adjuntos"/>
    <tableColumn id="7" name="BO">
      <calculatedColumnFormula>_xlfn.LET(_xlpm.t,_xlfn.TEXTAFTER(tblCorreos[[#This Row],[Asunto]],"BO#",,,,""),IF(_xlpm.t="","",_xlfn.TEXTBEFORE(TRIM(_xlpm.t)&amp;" "," ")))</calculatedColumnFormula>
    </tableColumn>
    <tableColumn id="8" name="RDD">
      <calculatedColumnFormula>_xlfn.LET(_xlpm.t,_xlfn.TEXTAFTER(tblCorreos[[#This Row],[Asunto]],"RDD ",,,,""),IF(_xlpm.t="","",TRIM(_xlfn.TEXTBEFORE(_xlpm.t&amp;",",","))))</calculatedColumnFormula>
    </tableColumn>
    <tableColumn id="9" name="DiasRDD">
      <calculatedColumnFormula>IF(tblCorreos[[#This Row],[RDD]]="","",_xlfn.LET(_xlpm.p,_xlfn.TEXTSPLIT(tblCorreos[[#This Row],[RDD]],"-"),_xlpm.y,VALUE(INDEX(_xlpm.p,1,3)),_xlpm.f,DATE(IF(_xlpm.y&lt;100,2000+_xlpm.y,_xlpm.y),(SEARCH(INDEX(_xlpm.p,1,2),"JANFEBMARAPRMAYJUNJULAUGSEPOCTNOVDEC")+2)/3,VALUE(INDEX(_xlpm.p,1,1))),_xlpm.f-TODAY()))</calculatedColumnFormula>
    </tableColumn>
    <tableColumn id="10" name="Tipo">
      <calculatedColumnFormula>IF(OR(LEFT(TRIM(tblCorreos[[#This Row],[Asunto]]),3)="RE:",LEFT(TRIM(tblCorreos[[#This Row],[Asunto]]),3)="FW:",LEFT(TRIM(tblCorreos[[#This Row],[Asunto]]),4)="FWD:",ISNUMBER(SEARCH("[Ext]",tblCorreos[[#This Row],[Asunto]])),ISNUMBER(SEARCH("thread::",tblCorreos[[#This Row],[Asunto]])),tblCorreos[[#This Row],[Adjuntos]]=TRUE,tblCorreos[[#This Row],[Adjuntos]]="true",NOT(ISNUMBER(SEARCH("Item [",tblCorreos[[#This Row],[Cuerpo]])))),"COMPLEJO","ESTANDAR")</calculatedColumnFormula>
    </tableColumn>
    <tableColumn id="11" name="Articulos">
      <calculatedColumnFormula>(LEN(tblCorreos[[#This Row],[Cuerpo]])-LEN(SUBSTITUTE(tblCorreos[[#This Row],[Cuerpo]],"Item [","")))/6</calculatedColumnFormula>
    </tableColumn>
    <tableColumn id="12" name="Faltantes">
      <calculatedColumnFormula>IF(OR(tblCorreos[[#This Row],[Articulos]]=0,tblCorreos[[#This Row],[Tipo]]="COMPLEJO"),0,IFERROR(_xlfn.LET(_xlpm.partes,_xlfn.DROP(_xlfn.TEXTSPLIT(tblCorreos[[#This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["),"]"))),_xlpm.inv,SUMIFS(OH_Qty,OH_Item,_xlpm.art),SUM(--(_xlpm.inv&lt;_xlpm.cant))),-1))</calculatedColumnFormula>
    </tableColumn>
    <tableColumn id="13" name="Resultado">
      <calculatedColumnFormula>IF(tblCorreos[[#This Row],[BO]]="","ROJO",IF(OR(tblCorreos[[#This Row],[Tipo]]="COMPLEJO",tblCorreos[[#This Row],[Faltantes]]&lt;0),"NARANJA",IF(tblCorreos[[#This Row],[Faltantes]]&gt;0,"ROJO","VERDE")))</calculatedColumnFormula>
    </tableColumn>
    <tableColumn id="14" name="Prioridad">
      <calculatedColumnFormula>IF(AND(tblCorreos[[#This Row],[Resultado]]="ROJO",ISNUMBER(tblCorreos[[#This Row],[DiasRDD]])),IF(tblCorreos[[#This Row],[DiasRDD]]&lt;=7,"CRITICA","NORMAL"),"NORMAL")</calculatedColumnFormula>
    </tableColumn>
    <tableColumn id="15" name="Detalle">
      <calculatedColumnFormula>IF(OR(tblCorreos[[#This Row],[Articulos]]=0,tblCorreos[[#This Row],[Tipo]]="COMPLEJO"),"&lt;p&gt;Correo complejo: revisión manual.&lt;/p&gt;",IFERROR(_xlfn.LET(_xlpm.partes,_xlfn.DROP(_xlfn.TEXTSPLIT(tblCorreos[[#This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["),"]"))),_xlpm.inv,SUMIFS(OH_Qty,OH_Item,_xlpm.art),_xlpm.des,_xlfn.XLOOKUP(_xlpm.art,OH_Item&amp;"",OH_Desc,"NO ESTA EN OH"),_xlpm.filas,"&lt;tr&gt;&lt;td&gt;"&amp;_xlpm.art&amp;"&lt;/td&gt;&lt;td&gt;"&amp;_xlpm.des&amp;"&lt;/td&gt;&lt;td align=right&gt;"&amp;_xlpm.cant&amp;"&lt;/td&gt;&lt;td align=right&gt;"&amp;_xlpm.inv&amp;"&lt;/td&gt;&lt;td&gt;"&amp;IF(_xlpm.inv&gt;=_xlpm.cant,"OK","FALTAN "&amp;(_xlpm.cant-_xlpm.inv))&amp;"&lt;/td&gt;&lt;/tr&gt;","&lt;table border=1 cellpadding=4 cellspacing=0&gt;&lt;tr&gt;&lt;th&gt;Artículo&lt;/th&gt;&lt;th&gt;Descripción&lt;/th&gt;&lt;th&gt;Pide&lt;/th&gt;&lt;th&gt;OH&lt;/th&gt;&lt;th&gt;Estado&lt;/th&gt;&lt;/tr&gt;"&amp;_xlfn.TEXTJOIN("",TRUE,_xlpm.filas)&amp;"&lt;/table&gt;"),"&lt;p&gt;Formato no reconocido.&lt;/p&gt;"))</calculatedColumnFormula>
    </tableColumn>
    <tableColumn id="16" name="Etiqueta">
      <calculatedColumnFormula>"["&amp;tblCorreos[[#This Row],[Resultado]]&amp;"] BO# "&amp;IF(tblCorreos[[#This Row],[BO]]="","SIN BO#",tblCorreos[[#This Row],[BO]])&amp;IF(tblCorreos[[#This Row],[Prioridad]]="CRITICA"," · CRITICA","")&amp;" · "&amp;tblCorreos[[#This Row],[Asunto]]</calculatedColumnFormula>
    </tableColumn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62" customWidth="1" min="4" max="4"/>
  </cols>
  <sheetData>
    <row r="1">
      <c r="A1" s="1" t="n"/>
      <c r="B1" s="1" t="n"/>
      <c r="C1" s="1" t="n"/>
      <c r="D1" s="1" t="n"/>
    </row>
    <row r="2">
      <c r="A2" s="1" t="n"/>
      <c r="B2" s="2" t="inlineStr">
        <is>
          <t>OrderApproval · libro de análisis</t>
        </is>
      </c>
      <c r="C2" s="1" t="n"/>
      <c r="D2" s="1" t="n"/>
    </row>
    <row r="3" ht="26" customHeight="1">
      <c r="A3" s="1" t="n"/>
      <c r="B3" s="3" t="inlineStr">
        <is>
          <t>Compara los correos sencillos de #DC-MMex Order Approval contra el Material OH y registra el resultado. No responde ni marca correos.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" t="inlineStr">
        <is>
          <t>Hojas del libro</t>
        </is>
      </c>
      <c r="C5" s="1" t="n"/>
      <c r="D5" s="1" t="n"/>
    </row>
    <row r="6">
      <c r="A6" s="1" t="n"/>
      <c r="B6" s="5" t="inlineStr">
        <is>
          <t>Hoja</t>
        </is>
      </c>
      <c r="C6" s="5" t="inlineStr">
        <is>
          <t>Qué contiene</t>
        </is>
      </c>
      <c r="D6" s="5" t="inlineStr">
        <is>
          <t>Qué haces tú</t>
        </is>
      </c>
    </row>
    <row r="7">
      <c r="A7" s="1" t="n"/>
      <c r="B7" s="6" t="inlineStr">
        <is>
          <t>MaterialOH (tabla tblOH)</t>
        </is>
      </c>
      <c r="C7" s="6" t="inlineStr">
        <is>
          <t>El reporte de inventario con sus 5 columnas: Item, Item2, Locator, Item Description, On-hand Qty.</t>
        </is>
      </c>
      <c r="D7" s="6" t="inlineStr">
        <is>
          <t>Cada día borras las filas de datos y pegas el reporte nuevo (sin el encabezado) en A2 con Pegado especial → Valores.</t>
        </is>
      </c>
    </row>
    <row r="8">
      <c r="A8" s="1" t="n"/>
      <c r="B8" s="6" t="inlineStr">
        <is>
          <t>Correos (tabla tblCorreos)</t>
        </is>
      </c>
      <c r="C8" s="6" t="inlineStr">
        <is>
          <t>Un renglón por correo. Columnas A–F (azul) las llena el flujo de Power Automate; G–P (blanco) son fórmulas.</t>
        </is>
      </c>
      <c r="D8" s="6" t="inlineStr">
        <is>
          <t>Nada. No escribas en las columnas de fórmula.</t>
        </is>
      </c>
    </row>
    <row r="9">
      <c r="A9" s="1" t="n"/>
      <c r="B9" s="6" t="inlineStr">
        <is>
          <t>Buscar</t>
        </is>
      </c>
      <c r="C9" s="6" t="inlineStr">
        <is>
          <t>Búsqueda de artículos en el Material OH y revisión de una lista de artículos.</t>
        </is>
      </c>
      <c r="D9" s="6" t="inlineStr">
        <is>
          <t>Escribes en las celdas amarillas: B2, B3 y G6:G200.</t>
        </is>
      </c>
    </row>
    <row r="10">
      <c r="A10" s="1" t="n"/>
      <c r="B10" s="1" t="n"/>
      <c r="C10" s="1" t="n"/>
      <c r="D10" s="1" t="n"/>
    </row>
    <row r="11">
      <c r="A11" s="1" t="n"/>
      <c r="B11" s="4" t="inlineStr">
        <is>
          <t>Nombres que usan las fórmulas (ya creados)</t>
        </is>
      </c>
      <c r="C11" s="1" t="n"/>
      <c r="D11" s="1" t="n"/>
    </row>
    <row r="12">
      <c r="A12" s="1" t="n"/>
      <c r="B12" s="5" t="inlineStr">
        <is>
          <t>Nombre</t>
        </is>
      </c>
      <c r="C12" s="5" t="inlineStr">
        <is>
          <t>Apunta a</t>
        </is>
      </c>
      <c r="D12" s="5" t="inlineStr">
        <is>
          <t>Para qué</t>
        </is>
      </c>
    </row>
    <row r="13">
      <c r="A13" s="1" t="n"/>
      <c r="B13" s="6" t="inlineStr">
        <is>
          <t>OH_Item</t>
        </is>
      </c>
      <c r="C13" s="6" t="inlineStr">
        <is>
          <t>tblOH[Item]</t>
        </is>
      </c>
      <c r="D13" s="6" t="inlineStr">
        <is>
          <t>Número de artículo (no Item2).</t>
        </is>
      </c>
    </row>
    <row r="14">
      <c r="A14" s="1" t="n"/>
      <c r="B14" s="6" t="inlineStr">
        <is>
          <t>OH_Desc</t>
        </is>
      </c>
      <c r="C14" s="6" t="inlineStr">
        <is>
          <t>tblOH[Item Description]</t>
        </is>
      </c>
      <c r="D14" s="6" t="inlineStr">
        <is>
          <t>Descripción que aparece en Detalle.</t>
        </is>
      </c>
    </row>
    <row r="15">
      <c r="A15" s="1" t="n"/>
      <c r="B15" s="6" t="inlineStr">
        <is>
          <t>OH_Qty</t>
        </is>
      </c>
      <c r="C15" s="6" t="inlineStr">
        <is>
          <t>tblOH[On-hand Qty]</t>
        </is>
      </c>
      <c r="D15" s="6" t="inlineStr">
        <is>
          <t>Existencia. Si un artículo está en varios Locator, se suma.</t>
        </is>
      </c>
    </row>
    <row r="16" ht="26" customHeight="1">
      <c r="A16" s="1" t="n"/>
      <c r="B16" s="3" t="inlineStr">
        <is>
          <t>Se ven en Fórmulas → Administrador de nombres. Si uno muestra #REF!, edítalo y en «Se refiere a» selecciona la columna con el mouse.</t>
        </is>
      </c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4" t="inlineStr">
        <is>
          <t>Antes de usarlo</t>
        </is>
      </c>
      <c r="C18" s="1" t="n"/>
      <c r="D18" s="1" t="n"/>
    </row>
    <row r="19">
      <c r="A19" s="1" t="n"/>
      <c r="B19" s="5" t="inlineStr">
        <is>
          <t>Paso</t>
        </is>
      </c>
      <c r="C19" s="5" t="inlineStr">
        <is>
          <t>Qué hacer</t>
        </is>
      </c>
      <c r="D19" s="5" t="inlineStr">
        <is>
          <t>Cómo saber que quedó</t>
        </is>
      </c>
    </row>
    <row r="20">
      <c r="A20" s="1" t="n"/>
      <c r="B20" s="6" t="inlineStr">
        <is>
          <t>1. Borrar ejemplos</t>
        </is>
      </c>
      <c r="C20" s="6" t="inlineStr">
        <is>
          <t>Hojas MaterialOH y Correos: selecciona las filas grises de ejemplo → clic derecho → Eliminar → Filas de la tabla.</t>
        </is>
      </c>
      <c r="D20" s="6" t="inlineStr">
        <is>
          <t>Las tablas quedan con el encabezado y una fila vacía.</t>
        </is>
      </c>
    </row>
    <row r="21">
      <c r="A21" s="1" t="n"/>
      <c r="B21" s="6" t="inlineStr">
        <is>
          <t>2. Pegar el Material OH</t>
        </is>
      </c>
      <c r="C21" s="6" t="inlineStr">
        <is>
          <t>Copia los datos del reporte desde la fila 2 (las 5 columnas, en el mismo orden) y pégalos en MaterialOH!A2 con Pegado especial → Valores.</t>
        </is>
      </c>
      <c r="D21" s="6" t="inlineStr">
        <is>
          <t>En cualquier celda vacía, =SUM(OH_Qty) muestra la existencia total. Bórrala después.</t>
        </is>
      </c>
    </row>
    <row r="22">
      <c r="A22" s="1" t="n"/>
      <c r="B22" s="6" t="inlineStr">
        <is>
          <t>3. Conectar el flujo</t>
        </is>
      </c>
      <c r="C22" s="6" t="inlineStr">
        <is>
          <t>En el flujo OA-A, acción «Agregar una fila a una tabla»: archivo OrderApproval.xlsx, tabla tblCorreos. Llena solo IdCorreo, Recibido, Remitente, Asunto, Cuerpo y Adjuntos.</t>
        </is>
      </c>
      <c r="D22" s="6" t="inlineStr">
        <is>
          <t>Al llegar un correo aparece un renglón nuevo y las columnas G–P se calculan solas.</t>
        </is>
      </c>
    </row>
    <row r="23">
      <c r="A23" s="1" t="n"/>
      <c r="B23" s="6" t="inlineStr">
        <is>
          <t>4. Cerrar Excel de escritorio</t>
        </is>
      </c>
      <c r="C23" s="6" t="inlineStr">
        <is>
          <t>Después de pegar el Material OH, guarda y cierra el libro.</t>
        </is>
      </c>
      <c r="D23" s="6" t="inlineStr">
        <is>
          <t>Con el libro abierto, Power Automate puede marcarlo como bloqueado.</t>
        </is>
      </c>
    </row>
    <row r="24">
      <c r="A24" s="1" t="n"/>
      <c r="B24" s="1" t="n"/>
      <c r="C24" s="1" t="n"/>
      <c r="D24" s="1" t="n"/>
    </row>
    <row r="25">
      <c r="A25" s="1" t="n"/>
      <c r="B25" s="4" t="inlineStr">
        <is>
          <t>Resultados</t>
        </is>
      </c>
      <c r="C25" s="1" t="n"/>
      <c r="D25" s="1" t="n"/>
    </row>
    <row r="26">
      <c r="A26" s="1" t="n"/>
      <c r="B26" s="5" t="inlineStr">
        <is>
          <t>Valor</t>
        </is>
      </c>
      <c r="C26" s="5" t="inlineStr">
        <is>
          <t>Significado</t>
        </is>
      </c>
      <c r="D26" s="1" t="n"/>
    </row>
    <row r="27">
      <c r="A27" s="1" t="n"/>
      <c r="B27" s="6" t="inlineStr">
        <is>
          <t>VERDE</t>
        </is>
      </c>
      <c r="C27" s="6" t="inlineStr">
        <is>
          <t>Todos los artículos tienen existencia suficiente.</t>
        </is>
      </c>
      <c r="D27" s="1" t="n"/>
    </row>
    <row r="28">
      <c r="A28" s="1" t="n"/>
      <c r="B28" s="6" t="inlineStr">
        <is>
          <t>ROJO</t>
        </is>
      </c>
      <c r="C28" s="6" t="inlineStr">
        <is>
          <t>Falta material en al menos un artículo, o el asunto no trae BO#. Prioridad CRITICA si la RDD está a 7 días o menos.</t>
        </is>
      </c>
      <c r="D28" s="1" t="n"/>
    </row>
    <row r="29">
      <c r="A29" s="1" t="n"/>
      <c r="B29" s="6" t="inlineStr">
        <is>
          <t>NARANJA</t>
        </is>
      </c>
      <c r="C29" s="6" t="inlineStr">
        <is>
          <t>Correo complejo (RE:/FW:, adjuntos, sin líneas Item / Qty) o formato no reconocido (Faltantes = -1). Revisión manual.</t>
        </is>
      </c>
      <c r="D29" s="1" t="n"/>
    </row>
    <row r="30">
      <c r="A30" s="1" t="n"/>
      <c r="B30" s="1" t="n"/>
      <c r="C30" s="1" t="n"/>
      <c r="D30" s="1" t="n"/>
    </row>
    <row r="31">
      <c r="A31" s="1" t="n"/>
      <c r="B31" s="4" t="inlineStr">
        <is>
          <t>Requisitos</t>
        </is>
      </c>
      <c r="C31" s="1" t="n"/>
      <c r="D31" s="1" t="n"/>
    </row>
    <row r="32" ht="28" customHeight="1">
      <c r="A32" s="1" t="n"/>
      <c r="B32" s="7" t="inlineStr">
        <is>
          <t>Excel de Microsoft 365 (escritorio o web). Las fórmulas usan LET, TEXTSPLIT, TEXTBEFORE, TEXTAFTER, XLOOKUP y FILTER, que no existen en Excel 2019 ni anteriores.</t>
        </is>
      </c>
      <c r="C32" s="1" t="n"/>
      <c r="D32" s="1" t="n"/>
    </row>
    <row r="33">
      <c r="A33" s="1" t="n"/>
      <c r="B33" s="8" t="inlineStr">
        <is>
          <t>Guía completa: docs/PROPUESTA_SIN_DESARROLLO.md en el repositorio OA-JRM.</t>
        </is>
      </c>
      <c r="C33" s="1" t="n"/>
      <c r="D33" s="1" t="n"/>
    </row>
  </sheetData>
  <mergeCells count="3">
    <mergeCell ref="B32:D32"/>
    <mergeCell ref="B3:D3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52" customWidth="1" min="4" max="4"/>
    <col width="13" customWidth="1" min="5" max="5"/>
  </cols>
  <sheetData>
    <row r="1">
      <c r="A1" s="1" t="inlineStr">
        <is>
          <t>Item</t>
        </is>
      </c>
      <c r="B1" s="1" t="inlineStr">
        <is>
          <t>Item2</t>
        </is>
      </c>
      <c r="C1" s="1" t="inlineStr">
        <is>
          <t>Locator</t>
        </is>
      </c>
      <c r="D1" s="1" t="inlineStr">
        <is>
          <t>Item Description</t>
        </is>
      </c>
      <c r="E1" s="1" t="inlineStr">
        <is>
          <t>On-hand Qty</t>
        </is>
      </c>
      <c r="F1" s="1" t="n"/>
      <c r="G1" s="8" t="inlineStr">
        <is>
          <t>Filas grises = ejemplo. Bórralas y pega aquí tu Material OH (desde A2, solo valores).</t>
        </is>
      </c>
    </row>
    <row r="2">
      <c r="A2" s="9" t="inlineStr">
        <is>
          <t>1012010774</t>
        </is>
      </c>
      <c r="B2" s="10" t="inlineStr">
        <is>
          <t>PACKAGE</t>
        </is>
      </c>
      <c r="C2" s="10" t="inlineStr">
        <is>
          <t>A-01-02</t>
        </is>
      </c>
      <c r="D2" s="10" t="inlineStr">
        <is>
          <t>PRODUCT PACKAGE: GRADUATION REGALIA SET</t>
        </is>
      </c>
      <c r="E2" s="11" t="n">
        <v>85</v>
      </c>
      <c r="F2" s="1" t="n"/>
      <c r="G2" s="1" t="n"/>
    </row>
    <row r="3">
      <c r="A3" s="9" t="inlineStr">
        <is>
          <t>1012010774</t>
        </is>
      </c>
      <c r="B3" s="10" t="inlineStr">
        <is>
          <t>PACKAGE</t>
        </is>
      </c>
      <c r="C3" s="10" t="inlineStr">
        <is>
          <t>B-03-01</t>
        </is>
      </c>
      <c r="D3" s="10" t="inlineStr">
        <is>
          <t>PRODUCT PACKAGE: GRADUATION REGALIA SET</t>
        </is>
      </c>
      <c r="E3" s="11" t="n">
        <v>35</v>
      </c>
      <c r="F3" s="1" t="n"/>
      <c r="G3" s="1" t="n"/>
    </row>
    <row r="4">
      <c r="A4" s="9" t="inlineStr">
        <is>
          <t>2000181530</t>
        </is>
      </c>
      <c r="B4" s="10" t="inlineStr">
        <is>
          <t>ACCESSORY</t>
        </is>
      </c>
      <c r="C4" s="10" t="inlineStr">
        <is>
          <t>C-01-01</t>
        </is>
      </c>
      <c r="D4" s="10" t="inlineStr">
        <is>
          <t>TASSEL: STANDARD.GARNET/GOLD.2026 CHARM</t>
        </is>
      </c>
      <c r="E4" s="11" t="n">
        <v>300</v>
      </c>
      <c r="F4" s="1" t="n"/>
      <c r="G4" s="1" t="n"/>
    </row>
    <row r="5">
      <c r="A5" s="9" t="inlineStr">
        <is>
          <t>2000186004</t>
        </is>
      </c>
      <c r="B5" s="10" t="inlineStr">
        <is>
          <t>ACCESSORY</t>
        </is>
      </c>
      <c r="C5" s="10" t="inlineStr">
        <is>
          <t>B-04-01</t>
        </is>
      </c>
      <c r="D5" s="10" t="inlineStr">
        <is>
          <t>DIPLOMA COVER: PADDED.NAVY.GOLD FOIL</t>
        </is>
      </c>
      <c r="E5" s="11" t="n">
        <v>90</v>
      </c>
      <c r="F5" s="1" t="n"/>
      <c r="G5" s="1" t="n"/>
    </row>
    <row r="6">
      <c r="A6" s="9" t="inlineStr">
        <is>
          <t>2000179048</t>
        </is>
      </c>
      <c r="B6" s="10" t="inlineStr">
        <is>
          <t>GOWN</t>
        </is>
      </c>
      <c r="C6" s="10" t="inlineStr">
        <is>
          <t>A-05-01</t>
        </is>
      </c>
      <c r="D6" s="10" t="inlineStr">
        <is>
          <t>GOWN: BDG.GRADUATE.POLYESTER.GARNET.5'04"</t>
        </is>
      </c>
      <c r="E6" s="11" t="n">
        <v>65</v>
      </c>
      <c r="F6" s="1" t="n"/>
      <c r="G6" s="1" t="n"/>
    </row>
    <row r="7">
      <c r="A7" s="9" t="inlineStr">
        <is>
          <t>2000190112</t>
        </is>
      </c>
      <c r="B7" s="10" t="inlineStr">
        <is>
          <t>ACCESSORY</t>
        </is>
      </c>
      <c r="C7" s="10" t="inlineStr">
        <is>
          <t>B-01-07</t>
        </is>
      </c>
      <c r="D7" s="10" t="inlineStr">
        <is>
          <t>STOLE: L-33.SATIN.WHITE.PLAIN</t>
        </is>
      </c>
      <c r="E7" s="11" t="n">
        <v>4</v>
      </c>
      <c r="F7" s="1" t="n"/>
      <c r="G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60" customWidth="1" min="4" max="4"/>
    <col width="60" customWidth="1" min="5" max="5"/>
    <col width="10" customWidth="1" min="6" max="6"/>
    <col width="11" customWidth="1" min="7" max="7"/>
    <col width="11" customWidth="1" min="8" max="8"/>
    <col width="9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IdCorreo</t>
        </is>
      </c>
      <c r="B1" s="1" t="inlineStr">
        <is>
          <t>Recibido</t>
        </is>
      </c>
      <c r="C1" s="1" t="inlineStr">
        <is>
          <t>Remitente</t>
        </is>
      </c>
      <c r="D1" s="1" t="inlineStr">
        <is>
          <t>Asunto</t>
        </is>
      </c>
      <c r="E1" s="1" t="inlineStr">
        <is>
          <t>Cuerpo</t>
        </is>
      </c>
      <c r="F1" s="1" t="inlineStr">
        <is>
          <t>Adjuntos</t>
        </is>
      </c>
      <c r="G1" s="1" t="inlineStr">
        <is>
          <t>BO</t>
        </is>
      </c>
      <c r="H1" s="1" t="inlineStr">
        <is>
          <t>RDD</t>
        </is>
      </c>
      <c r="I1" s="1" t="inlineStr">
        <is>
          <t>DiasRDD</t>
        </is>
      </c>
      <c r="J1" s="1" t="inlineStr">
        <is>
          <t>Tipo</t>
        </is>
      </c>
      <c r="K1" s="1" t="inlineStr">
        <is>
          <t>Articulos</t>
        </is>
      </c>
      <c r="L1" s="1" t="inlineStr">
        <is>
          <t>Faltantes</t>
        </is>
      </c>
      <c r="M1" s="1" t="inlineStr">
        <is>
          <t>Resultado</t>
        </is>
      </c>
      <c r="N1" s="1" t="inlineStr">
        <is>
          <t>Prioridad</t>
        </is>
      </c>
      <c r="O1" s="1" t="inlineStr">
        <is>
          <t>Detalle</t>
        </is>
      </c>
      <c r="P1" s="1" t="inlineStr">
        <is>
          <t>Etiqueta</t>
        </is>
      </c>
    </row>
    <row r="2" ht="45" customHeight="1">
      <c r="A2" s="12" t="inlineStr">
        <is>
          <t>EJEMPLO-1</t>
        </is>
      </c>
      <c r="B2" s="13" t="n">
        <v>46300.38541666666</v>
      </c>
      <c r="C2" s="12" t="inlineStr">
        <is>
          <t>orders@northridge-grad.example</t>
        </is>
      </c>
      <c r="D2" s="12" t="inlineStr">
        <is>
          <t>PRDF: RDD 30-OCT-26, Event Date 15-NOV-26, NORTHRIDGE GRAD SUPPLY LLC, Rep NORTHRIDGE GRAD SUPPLY LLC, BO# 93938905</t>
        </is>
      </c>
      <c r="E2" s="12" t="inlineStr">
        <is>
          <t>Item [1012010774] Qty [1] Description [PRODUCT PACKAGE: GRADUATION REGALIA SET]
Item [2000181530] Qty [25] Description [TASSEL: STANDARD.GARNET/GOLD.2026 CHARM]
Item [2000186004] Qty [25] Description [DIPLOMA COVER: PADDED.NAVY.GOLD FOIL]</t>
        </is>
      </c>
      <c r="F2" s="12" t="b">
        <v>0</v>
      </c>
      <c r="G2" s="14">
        <f>_xlfn.LET(_xlpm.t,_xlfn.TEXTAFTER(tblCorreos[[#This Row],[Asunto]],"BO#",,,,""),IF(_xlpm.t="","",_xlfn.TEXTBEFORE(TRIM(_xlpm.t)&amp;" "," ")))</f>
      </c>
      <c r="H2" s="14">
        <f>_xlfn.LET(_xlpm.t,_xlfn.TEXTAFTER(tblCorreos[[#This Row],[Asunto]],"RDD ",,,,""),IF(_xlpm.t="","",TRIM(_xlfn.TEXTBEFORE(_xlpm.t&amp;",",","))))</f>
      </c>
      <c r="I2" s="15" cm="1">
        <f t="array" ref="I2">IF(tblCorreos[[#This Row],[RDD]]="","",_xlfn.LET(_xlpm.p,_xlfn.TEXTSPLIT(tblCorreos[[#This Row],[RDD]],"-"),_xlpm.y,VALUE(INDEX(_xlpm.p,1,3)),_xlpm.f,DATE(IF(_xlpm.y&lt;100,2000+_xlpm.y,_xlpm.y),(SEARCH(INDEX(_xlpm.p,1,2),"JANFEBMARAPRMAYJUNJULAUGSEPOCTNOVDEC")+2)/3,VALUE(INDEX(_xlpm.p,1,1))),_xlpm.f-TODAY()))</f>
      </c>
      <c r="J2" s="14">
        <f>IF(OR(LEFT(TRIM(tblCorreos[[#This Row],[Asunto]]),3)="RE:",LEFT(TRIM(tblCorreos[[#This Row],[Asunto]]),3)="FW:",LEFT(TRIM(tblCorreos[[#This Row],[Asunto]]),4)="FWD:",ISNUMBER(SEARCH("[Ext]",tblCorreos[[#This Row],[Asunto]])),ISNUMBER(SEARCH("thread::",tblCorreos[[#This Row],[Asunto]])),tblCorreos[[#This Row],[Adjuntos]]=TRUE,tblCorreos[[#This Row],[Adjuntos]]="true",NOT(ISNUMBER(SEARCH("Item [",tblCorreos[[#This Row],[Cuerpo]])))),"COMPLEJO","ESTANDAR")</f>
      </c>
      <c r="K2" s="14">
        <f>(LEN(tblCorreos[[#This Row],[Cuerpo]])-LEN(SUBSTITUTE(tblCorreos[[#This Row],[Cuerpo]],"Item [","")))/6</f>
      </c>
      <c r="L2" s="14" cm="1">
        <f t="array" ref="L2">IF(OR(tblCorreos[[#This Row],[Articulos]]=0,tblCorreos[[#This Row],[Tipo]]="COMPLEJO"),0,IFERROR(_xlfn.LET(_xlpm.partes,_xlfn.DROP(_xlfn.TEXTSPLIT(tblCorreos[[#This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["),"]"))),_xlpm.inv,SUMIFS(OH_Qty,OH_Item,_xlpm.art),SUM(--(_xlpm.inv&lt;_xlpm.cant))),-1))</f>
      </c>
      <c r="M2" s="14">
        <f>IF(tblCorreos[[#This Row],[BO]]="","ROJO",IF(OR(tblCorreos[[#This Row],[Tipo]]="COMPLEJO",tblCorreos[[#This Row],[Faltantes]]&lt;0),"NARANJA",IF(tblCorreos[[#This Row],[Faltantes]]&gt;0,"ROJO","VERDE")))</f>
      </c>
      <c r="N2" s="14">
        <f>IF(AND(tblCorreos[[#This Row],[Resultado]]="ROJO",ISNUMBER(tblCorreos[[#This Row],[DiasRDD]])),IF(tblCorreos[[#This Row],[DiasRDD]]&lt;=7,"CRITICA","NORMAL"),"NORMAL")</f>
      </c>
      <c r="O2" s="14" cm="1">
        <f t="array" ref="O2">IF(OR(tblCorreos[[#This Row],[Articulos]]=0,tblCorreos[[#This Row],[Tipo]]="COMPLEJO"),"&lt;p&gt;Correo complejo: revisión manual.&lt;/p&gt;",IFERROR(_xlfn.LET(_xlpm.partes,_xlfn.DROP(_xlfn.TEXTSPLIT(tblCorreos[[#This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["),"]"))),_xlpm.inv,SUMIFS(OH_Qty,OH_Item,_xlpm.art),_xlpm.des,_xlfn.XLOOKUP(_xlpm.art,OH_Item&amp;"",OH_Desc,"NO ESTA EN OH"),_xlpm.filas,"&lt;tr&gt;&lt;td&gt;"&amp;_xlpm.art&amp;"&lt;/td&gt;&lt;td&gt;"&amp;_xlpm.des&amp;"&lt;/td&gt;&lt;td align=right&gt;"&amp;_xlpm.cant&amp;"&lt;/td&gt;&lt;td align=right&gt;"&amp;_xlpm.inv&amp;"&lt;/td&gt;&lt;td&gt;"&amp;IF(_xlpm.inv&gt;=_xlpm.cant,"OK","FALTAN "&amp;(_xlpm.cant-_xlpm.inv))&amp;"&lt;/td&gt;&lt;/tr&gt;","&lt;table border=1 cellpadding=4 cellspacing=0&gt;&lt;tr&gt;&lt;th&gt;Artículo&lt;/th&gt;&lt;th&gt;Descripción&lt;/th&gt;&lt;th&gt;Pide&lt;/th&gt;&lt;th&gt;OH&lt;/th&gt;&lt;th&gt;Estado&lt;/th&gt;&lt;/tr&gt;"&amp;_xlfn.TEXTJOIN("",TRUE,_xlpm.filas)&amp;"&lt;/table&gt;"),"&lt;p&gt;Formato no reconocido.&lt;/p&gt;"))</f>
      </c>
      <c r="P2" s="14">
        <f>"["&amp;tblCorreos[[#This Row],[Resultado]]&amp;"] BO# "&amp;IF(tblCorreos[[#This Row],[BO]]="","SIN BO#",tblCorreos[[#This Row],[BO]])&amp;IF(tblCorreos[[#This Row],[Prioridad]]="CRITICA"," · CRITICA","")&amp;" · "&amp;tblCorreos[[#This Row],[Asunto]]</f>
      </c>
    </row>
    <row r="3" ht="45" customHeight="1">
      <c r="A3" s="12" t="inlineStr">
        <is>
          <t>EJEMPLO-2</t>
        </is>
      </c>
      <c r="B3" s="13" t="n">
        <v>46300.44444444445</v>
      </c>
      <c r="C3" s="12" t="inlineStr">
        <is>
          <t>orders@lakeside-academy.example</t>
        </is>
      </c>
      <c r="D3" s="12" t="inlineStr">
        <is>
          <t>PRDF: RDD 09-OCT-26, Event Date N/A, LAKESIDE ACADEMY STORE, Rep LAKESIDE ACADEMY STORE, BO# 93952630</t>
        </is>
      </c>
      <c r="E3" s="12" t="inlineStr">
        <is>
          <t>Item [2000179048] Qty [20] Description [GOWN: BDG.GRADUATE.POLYESTER.GARNET.5'04"]
Item [2000190112] Qty [10] Description [STOLE: L-33.SATIN.WHITE.PLAIN]
Item [2000999999] Qty [2] Description [HOOD: DOCTORAL.BLACK]</t>
        </is>
      </c>
      <c r="F3" s="12" t="b">
        <v>0</v>
      </c>
      <c r="G3" s="14">
        <f>_xlfn.LET(_xlpm.t,_xlfn.TEXTAFTER(tblCorreos[[#This Row],[Asunto]],"BO#",,,,""),IF(_xlpm.t="","",_xlfn.TEXTBEFORE(TRIM(_xlpm.t)&amp;" "," ")))</f>
      </c>
      <c r="H3" s="14">
        <f>_xlfn.LET(_xlpm.t,_xlfn.TEXTAFTER(tblCorreos[[#This Row],[Asunto]],"RDD ",,,,""),IF(_xlpm.t="","",TRIM(_xlfn.TEXTBEFORE(_xlpm.t&amp;",",","))))</f>
      </c>
      <c r="I3" s="15" cm="1">
        <f t="array" ref="I3">IF(tblCorreos[[#This Row],[RDD]]="","",_xlfn.LET(_xlpm.p,_xlfn.TEXTSPLIT(tblCorreos[[#This Row],[RDD]],"-"),_xlpm.y,VALUE(INDEX(_xlpm.p,1,3)),_xlpm.f,DATE(IF(_xlpm.y&lt;100,2000+_xlpm.y,_xlpm.y),(SEARCH(INDEX(_xlpm.p,1,2),"JANFEBMARAPRMAYJUNJULAUGSEPOCTNOVDEC")+2)/3,VALUE(INDEX(_xlpm.p,1,1))),_xlpm.f-TODAY()))</f>
      </c>
      <c r="J3" s="14">
        <f>IF(OR(LEFT(TRIM(tblCorreos[[#This Row],[Asunto]]),3)="RE:",LEFT(TRIM(tblCorreos[[#This Row],[Asunto]]),3)="FW:",LEFT(TRIM(tblCorreos[[#This Row],[Asunto]]),4)="FWD:",ISNUMBER(SEARCH("[Ext]",tblCorreos[[#This Row],[Asunto]])),ISNUMBER(SEARCH("thread::",tblCorreos[[#This Row],[Asunto]])),tblCorreos[[#This Row],[Adjuntos]]=TRUE,tblCorreos[[#This Row],[Adjuntos]]="true",NOT(ISNUMBER(SEARCH("Item [",tblCorreos[[#This Row],[Cuerpo]])))),"COMPLEJO","ESTANDAR")</f>
      </c>
      <c r="K3" s="14">
        <f>(LEN(tblCorreos[[#This Row],[Cuerpo]])-LEN(SUBSTITUTE(tblCorreos[[#This Row],[Cuerpo]],"Item [","")))/6</f>
      </c>
      <c r="L3" s="14" cm="1">
        <f t="array" ref="L3">IF(OR(tblCorreos[[#This Row],[Articulos]]=0,tblCorreos[[#This Row],[Tipo]]="COMPLEJO"),0,IFERROR(_xlfn.LET(_xlpm.partes,_xlfn.DROP(_xlfn.TEXTSPLIT(tblCorreos[[#This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["),"]"))),_xlpm.inv,SUMIFS(OH_Qty,OH_Item,_xlpm.art),SUM(--(_xlpm.inv&lt;_xlpm.cant))),-1))</f>
      </c>
      <c r="M3" s="14">
        <f>IF(tblCorreos[[#This Row],[BO]]="","ROJO",IF(OR(tblCorreos[[#This Row],[Tipo]]="COMPLEJO",tblCorreos[[#This Row],[Faltantes]]&lt;0),"NARANJA",IF(tblCorreos[[#This Row],[Faltantes]]&gt;0,"ROJO","VERDE")))</f>
      </c>
      <c r="N3" s="14">
        <f>IF(AND(tblCorreos[[#This Row],[Resultado]]="ROJO",ISNUMBER(tblCorreos[[#This Row],[DiasRDD]])),IF(tblCorreos[[#This Row],[DiasRDD]]&lt;=7,"CRITICA","NORMAL"),"NORMAL")</f>
      </c>
      <c r="O3" s="14" cm="1">
        <f t="array" ref="O3">IF(OR(tblCorreos[[#This Row],[Articulos]]=0,tblCorreos[[#This Row],[Tipo]]="COMPLEJO"),"&lt;p&gt;Correo complejo: revisión manual.&lt;/p&gt;",IFERROR(_xlfn.LET(_xlpm.partes,_xlfn.DROP(_xlfn.TEXTSPLIT(tblCorreos[[#This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["),"]"))),_xlpm.inv,SUMIFS(OH_Qty,OH_Item,_xlpm.art),_xlpm.des,_xlfn.XLOOKUP(_xlpm.art,OH_Item&amp;"",OH_Desc,"NO ESTA EN OH"),_xlpm.filas,"&lt;tr&gt;&lt;td&gt;"&amp;_xlpm.art&amp;"&lt;/td&gt;&lt;td&gt;"&amp;_xlpm.des&amp;"&lt;/td&gt;&lt;td align=right&gt;"&amp;_xlpm.cant&amp;"&lt;/td&gt;&lt;td align=right&gt;"&amp;_xlpm.inv&amp;"&lt;/td&gt;&lt;td&gt;"&amp;IF(_xlpm.inv&gt;=_xlpm.cant,"OK","FALTAN "&amp;(_xlpm.cant-_xlpm.inv))&amp;"&lt;/td&gt;&lt;/tr&gt;","&lt;table border=1 cellpadding=4 cellspacing=0&gt;&lt;tr&gt;&lt;th&gt;Artículo&lt;/th&gt;&lt;th&gt;Descripción&lt;/th&gt;&lt;th&gt;Pide&lt;/th&gt;&lt;th&gt;OH&lt;/th&gt;&lt;th&gt;Estado&lt;/th&gt;&lt;/tr&gt;"&amp;_xlfn.TEXTJOIN("",TRUE,_xlpm.filas)&amp;"&lt;/table&gt;"),"&lt;p&gt;Formato no reconocido.&lt;/p&gt;"))</f>
      </c>
      <c r="P3" s="14">
        <f>"["&amp;tblCorreos[[#This Row],[Resultado]]&amp;"] BO# "&amp;IF(tblCorreos[[#This Row],[BO]]="","SIN BO#",tblCorreos[[#This Row],[BO]])&amp;IF(tblCorreos[[#This Row],[Prioridad]]="CRITICA"," · CRITICA","")&amp;" · "&amp;tblCorreos[[#This Row],[Asunto]]</f>
      </c>
    </row>
    <row r="4" ht="45" customHeight="1">
      <c r="A4" s="12" t="inlineStr">
        <is>
          <t>EJEMPLO-3</t>
        </is>
      </c>
      <c r="B4" s="13" t="n">
        <v>46300.46180555555</v>
      </c>
      <c r="C4" s="12" t="inlineStr">
        <is>
          <t>rep@pioneer-grad.example</t>
        </is>
      </c>
      <c r="D4" s="12" t="inlineStr">
        <is>
          <t>RE: PRDF: RDD 30-OCT-26, Event Date N/A, PIONEER GRADUATION SVCS, Rep PIONEER GRADUATION SVCS, BO# 93958841</t>
        </is>
      </c>
      <c r="E4" s="12" t="inlineStr">
        <is>
          <t>Hi, can you split this order? Item [2000181530] Qty [10]</t>
        </is>
      </c>
      <c r="F4" s="12" t="b">
        <v>0</v>
      </c>
      <c r="G4" s="14">
        <f>_xlfn.LET(_xlpm.t,_xlfn.TEXTAFTER(tblCorreos[[#This Row],[Asunto]],"BO#",,,,""),IF(_xlpm.t="","",_xlfn.TEXTBEFORE(TRIM(_xlpm.t)&amp;" "," ")))</f>
      </c>
      <c r="H4" s="14">
        <f>_xlfn.LET(_xlpm.t,_xlfn.TEXTAFTER(tblCorreos[[#This Row],[Asunto]],"RDD ",,,,""),IF(_xlpm.t="","",TRIM(_xlfn.TEXTBEFORE(_xlpm.t&amp;",",","))))</f>
      </c>
      <c r="I4" s="15" cm="1">
        <f t="array" ref="I4">IF(tblCorreos[[#This Row],[RDD]]="","",_xlfn.LET(_xlpm.p,_xlfn.TEXTSPLIT(tblCorreos[[#This Row],[RDD]],"-"),_xlpm.y,VALUE(INDEX(_xlpm.p,1,3)),_xlpm.f,DATE(IF(_xlpm.y&lt;100,2000+_xlpm.y,_xlpm.y),(SEARCH(INDEX(_xlpm.p,1,2),"JANFEBMARAPRMAYJUNJULAUGSEPOCTNOVDEC")+2)/3,VALUE(INDEX(_xlpm.p,1,1))),_xlpm.f-TODAY()))</f>
      </c>
      <c r="J4" s="14">
        <f>IF(OR(LEFT(TRIM(tblCorreos[[#This Row],[Asunto]]),3)="RE:",LEFT(TRIM(tblCorreos[[#This Row],[Asunto]]),3)="FW:",LEFT(TRIM(tblCorreos[[#This Row],[Asunto]]),4)="FWD:",ISNUMBER(SEARCH("[Ext]",tblCorreos[[#This Row],[Asunto]])),ISNUMBER(SEARCH("thread::",tblCorreos[[#This Row],[Asunto]])),tblCorreos[[#This Row],[Adjuntos]]=TRUE,tblCorreos[[#This Row],[Adjuntos]]="true",NOT(ISNUMBER(SEARCH("Item [",tblCorreos[[#This Row],[Cuerpo]])))),"COMPLEJO","ESTANDAR")</f>
      </c>
      <c r="K4" s="14">
        <f>(LEN(tblCorreos[[#This Row],[Cuerpo]])-LEN(SUBSTITUTE(tblCorreos[[#This Row],[Cuerpo]],"Item [","")))/6</f>
      </c>
      <c r="L4" s="14" cm="1">
        <f t="array" ref="L4">IF(OR(tblCorreos[[#This Row],[Articulos]]=0,tblCorreos[[#This Row],[Tipo]]="COMPLEJO"),0,IFERROR(_xlfn.LET(_xlpm.partes,_xlfn.DROP(_xlfn.TEXTSPLIT(tblCorreos[[#This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["),"]"))),_xlpm.inv,SUMIFS(OH_Qty,OH_Item,_xlpm.art),SUM(--(_xlpm.inv&lt;_xlpm.cant))),-1))</f>
      </c>
      <c r="M4" s="14">
        <f>IF(tblCorreos[[#This Row],[BO]]="","ROJO",IF(OR(tblCorreos[[#This Row],[Tipo]]="COMPLEJO",tblCorreos[[#This Row],[Faltantes]]&lt;0),"NARANJA",IF(tblCorreos[[#This Row],[Faltantes]]&gt;0,"ROJO","VERDE")))</f>
      </c>
      <c r="N4" s="14">
        <f>IF(AND(tblCorreos[[#This Row],[Resultado]]="ROJO",ISNUMBER(tblCorreos[[#This Row],[DiasRDD]])),IF(tblCorreos[[#This Row],[DiasRDD]]&lt;=7,"CRITICA","NORMAL"),"NORMAL")</f>
      </c>
      <c r="O4" s="14" cm="1">
        <f t="array" ref="O4">IF(OR(tblCorreos[[#This Row],[Articulos]]=0,tblCorreos[[#This Row],[Tipo]]="COMPLEJO"),"&lt;p&gt;Correo complejo: revisión manual.&lt;/p&gt;",IFERROR(_xlfn.LET(_xlpm.partes,_xlfn.DROP(_xlfn.TEXTSPLIT(tblCorreos[[#This Row],[Cuerpo]],"Item ["),,1),_xlpm.art,TRIM(_xlfn.TEXTBEFORE(_xlpm.partes,"]")),_xlpm.cant,VALUE(TRIM(_xlfn.TEXTBEFORE(_xlfn.TEXTAFTER(_xlpm.partes,"Qty ["),"]"))),_xlpm.inv,SUMIFS(OH_Qty,OH_Item,_xlpm.art),_xlpm.des,_xlfn.XLOOKUP(_xlpm.art,OH_Item&amp;"",OH_Desc,"NO ESTA EN OH"),_xlpm.filas,"&lt;tr&gt;&lt;td&gt;"&amp;_xlpm.art&amp;"&lt;/td&gt;&lt;td&gt;"&amp;_xlpm.des&amp;"&lt;/td&gt;&lt;td align=right&gt;"&amp;_xlpm.cant&amp;"&lt;/td&gt;&lt;td align=right&gt;"&amp;_xlpm.inv&amp;"&lt;/td&gt;&lt;td&gt;"&amp;IF(_xlpm.inv&gt;=_xlpm.cant,"OK","FALTAN "&amp;(_xlpm.cant-_xlpm.inv))&amp;"&lt;/td&gt;&lt;/tr&gt;","&lt;table border=1 cellpadding=4 cellspacing=0&gt;&lt;tr&gt;&lt;th&gt;Artículo&lt;/th&gt;&lt;th&gt;Descripción&lt;/th&gt;&lt;th&gt;Pide&lt;/th&gt;&lt;th&gt;OH&lt;/th&gt;&lt;th&gt;Estado&lt;/th&gt;&lt;/tr&gt;"&amp;_xlfn.TEXTJOIN("",TRUE,_xlpm.filas)&amp;"&lt;/table&gt;"),"&lt;p&gt;Formato no reconocido.&lt;/p&gt;"))</f>
      </c>
      <c r="P4" s="14">
        <f>"["&amp;tblCorreos[[#This Row],[Resultado]]&amp;"] BO# "&amp;IF(tblCorreos[[#This Row],[BO]]="","SIN BO#",tblCorreos[[#This Row],[BO]])&amp;IF(tblCorreos[[#This Row],[Prioridad]]="CRITICA"," · CRITICA","")&amp;" · "&amp;tblCorreos[[#This Row],[Asunto]]</f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52" customWidth="1" min="4" max="4"/>
    <col width="13" customWidth="1" min="5" max="5"/>
    <col width="3" customWidth="1" min="6" max="6"/>
    <col width="14" customWidth="1" min="7" max="7"/>
    <col width="10" customWidth="1" min="8" max="8"/>
    <col width="11" customWidth="1" min="9" max="9"/>
  </cols>
  <sheetData>
    <row r="1">
      <c r="A1" s="8" t="inlineStr">
        <is>
          <t>Escribe en las celdas amarillas. En modo Descripción usa * entre palabras: gown*navy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6" t="inlineStr">
        <is>
          <t>Buscar</t>
        </is>
      </c>
      <c r="B2" s="17" t="inlineStr">
        <is>
          <t>2000181530</t>
        </is>
      </c>
      <c r="C2" s="1" t="n"/>
      <c r="D2" s="16" t="inlineStr">
        <is>
          <t>Total OH</t>
        </is>
      </c>
      <c r="E2" s="18">
        <f>IF($B$2="","",SUMIFS(OH_Qty,OH_Item,TRIM($B$2)))</f>
      </c>
      <c r="F2" s="1" t="n"/>
      <c r="G2" s="1" t="n"/>
      <c r="H2" s="1" t="n"/>
      <c r="I2" s="1" t="n"/>
    </row>
    <row r="3">
      <c r="A3" s="16" t="inlineStr">
        <is>
          <t>Modo</t>
        </is>
      </c>
      <c r="B3" s="17" t="inlineStr">
        <is>
          <t>Artículo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9" t="inlineStr">
        <is>
          <t>Item</t>
        </is>
      </c>
      <c r="B4" s="19" t="inlineStr">
        <is>
          <t>Item2</t>
        </is>
      </c>
      <c r="C4" s="19" t="inlineStr">
        <is>
          <t>Locator</t>
        </is>
      </c>
      <c r="D4" s="19" t="inlineStr">
        <is>
          <t>Item Description</t>
        </is>
      </c>
      <c r="E4" s="19" t="inlineStr">
        <is>
          <t>On-hand Qty</t>
        </is>
      </c>
      <c r="F4" s="1" t="n"/>
      <c r="G4" s="16" t="inlineStr">
        <is>
          <t>Lista de artículos</t>
        </is>
      </c>
      <c r="H4" s="1" t="n"/>
      <c r="I4" s="1" t="n"/>
    </row>
    <row r="5">
      <c r="A5" s="1" cm="1">
        <f t="array" ref="A5">_xlfn.LET(_xlpm.q,TRIM($B$2),_xlpm.modo,$B$3,_xlpm.art,OH_Item&amp;"",_xlpm.m,IF(_xlpm.modo="Artículo",_xlpm.art=_xlpm.q,IF(_xlpm.modo="Contiene",ISNUMBER(SEARCH(_xlpm.q,_xlpm.art)),ISNUMBER(SEARCH(_xlpm.q,OH_Desc)))),IF(_xlpm.q="","",_xlfn._xlws.FILTER(tblOH,_xlpm.m,"Sin resultados")))</f>
      </c>
      <c r="B5" s="1" t="n"/>
      <c r="C5" s="1" t="n"/>
      <c r="D5" s="1" t="n"/>
      <c r="E5" s="1" t="n"/>
      <c r="F5" s="1" t="n"/>
      <c r="G5" s="19" t="inlineStr">
        <is>
          <t>Artículo</t>
        </is>
      </c>
      <c r="H5" s="19" t="inlineStr">
        <is>
          <t>OH</t>
        </is>
      </c>
      <c r="I5" s="19" t="inlineStr">
        <is>
          <t>Estado</t>
        </is>
      </c>
    </row>
    <row r="6">
      <c r="A6" s="1" t="n"/>
      <c r="B6" s="1" t="n"/>
      <c r="C6" s="1" t="n"/>
      <c r="D6" s="1" t="n"/>
      <c r="E6" s="1" t="n"/>
      <c r="F6" s="1" t="n"/>
      <c r="G6" s="20" t="inlineStr">
        <is>
          <t>1012010774</t>
        </is>
      </c>
      <c r="H6" s="21">
        <f>IF(G6="","",SUMIFS(OH_Qty,OH_Item,G6))</f>
      </c>
      <c r="I6" s="1">
        <f>IF(G6="","",IF(COUNTIFS(OH_Item,G6)=0,"NO EXISTE","OK"))</f>
      </c>
    </row>
    <row r="7">
      <c r="A7" s="1" t="n"/>
      <c r="B7" s="1" t="n"/>
      <c r="C7" s="1" t="n"/>
      <c r="D7" s="1" t="n"/>
      <c r="E7" s="1" t="n"/>
      <c r="F7" s="1" t="n"/>
      <c r="G7" s="20" t="inlineStr">
        <is>
          <t>2000190112</t>
        </is>
      </c>
      <c r="H7" s="21">
        <f>IF(G7="","",SUMIFS(OH_Qty,OH_Item,G7))</f>
      </c>
      <c r="I7" s="1">
        <f>IF(G7="","",IF(COUNTIFS(OH_Item,G7)=0,"NO EXISTE","OK"))</f>
      </c>
    </row>
    <row r="8">
      <c r="A8" s="1" t="n"/>
      <c r="B8" s="1" t="n"/>
      <c r="C8" s="1" t="n"/>
      <c r="D8" s="1" t="n"/>
      <c r="E8" s="1" t="n"/>
      <c r="F8" s="1" t="n"/>
      <c r="G8" s="20" t="inlineStr">
        <is>
          <t>2000999999</t>
        </is>
      </c>
      <c r="H8" s="21">
        <f>IF(G8="","",SUMIFS(OH_Qty,OH_Item,G8))</f>
      </c>
      <c r="I8" s="1">
        <f>IF(G8="","",IF(COUNTIFS(OH_Item,G8)=0,"NO EXISTE","OK"))</f>
      </c>
    </row>
    <row r="9">
      <c r="A9" s="1" t="n"/>
      <c r="B9" s="1" t="n"/>
      <c r="C9" s="1" t="n"/>
      <c r="D9" s="1" t="n"/>
      <c r="E9" s="1" t="n"/>
      <c r="F9" s="1" t="n"/>
      <c r="G9" s="20" t="n"/>
      <c r="H9" s="21">
        <f>IF(G9="","",SUMIFS(OH_Qty,OH_Item,G9))</f>
      </c>
      <c r="I9" s="1">
        <f>IF(G9="","",IF(COUNTIFS(OH_Item,G9)=0,"NO EXISTE","OK"))</f>
      </c>
    </row>
    <row r="10">
      <c r="A10" s="1" t="n"/>
      <c r="B10" s="1" t="n"/>
      <c r="C10" s="1" t="n"/>
      <c r="D10" s="1" t="n"/>
      <c r="E10" s="1" t="n"/>
      <c r="F10" s="1" t="n"/>
      <c r="G10" s="20" t="n"/>
      <c r="H10" s="21">
        <f>IF(G10="","",SUMIFS(OH_Qty,OH_Item,G10))</f>
      </c>
      <c r="I10" s="1">
        <f>IF(G10="","",IF(COUNTIFS(OH_Item,G10)=0,"NO EXISTE","OK"))</f>
      </c>
    </row>
    <row r="11">
      <c r="A11" s="1" t="n"/>
      <c r="B11" s="1" t="n"/>
      <c r="C11" s="1" t="n"/>
      <c r="D11" s="1" t="n"/>
      <c r="E11" s="1" t="n"/>
      <c r="F11" s="1" t="n"/>
      <c r="G11" s="20" t="n"/>
      <c r="H11" s="21">
        <f>IF(G11="","",SUMIFS(OH_Qty,OH_Item,G11))</f>
      </c>
      <c r="I11" s="1">
        <f>IF(G11="","",IF(COUNTIFS(OH_Item,G11)=0,"NO EXISTE","OK"))</f>
      </c>
    </row>
    <row r="12">
      <c r="A12" s="1" t="n"/>
      <c r="B12" s="1" t="n"/>
      <c r="C12" s="1" t="n"/>
      <c r="D12" s="1" t="n"/>
      <c r="E12" s="1" t="n"/>
      <c r="F12" s="1" t="n"/>
      <c r="G12" s="20" t="n"/>
      <c r="H12" s="21">
        <f>IF(G12="","",SUMIFS(OH_Qty,OH_Item,G12))</f>
      </c>
      <c r="I12" s="1">
        <f>IF(G12="","",IF(COUNTIFS(OH_Item,G12)=0,"NO EXISTE","OK"))</f>
      </c>
    </row>
    <row r="13">
      <c r="A13" s="1" t="n"/>
      <c r="B13" s="1" t="n"/>
      <c r="C13" s="1" t="n"/>
      <c r="D13" s="1" t="n"/>
      <c r="E13" s="1" t="n"/>
      <c r="F13" s="1" t="n"/>
      <c r="G13" s="20" t="n"/>
      <c r="H13" s="21">
        <f>IF(G13="","",SUMIFS(OH_Qty,OH_Item,G13))</f>
      </c>
      <c r="I13" s="1">
        <f>IF(G13="","",IF(COUNTIFS(OH_Item,G13)=0,"NO EXISTE","OK"))</f>
      </c>
    </row>
    <row r="14">
      <c r="A14" s="1" t="n"/>
      <c r="B14" s="1" t="n"/>
      <c r="C14" s="1" t="n"/>
      <c r="D14" s="1" t="n"/>
      <c r="E14" s="1" t="n"/>
      <c r="F14" s="1" t="n"/>
      <c r="G14" s="20" t="n"/>
      <c r="H14" s="21">
        <f>IF(G14="","",SUMIFS(OH_Qty,OH_Item,G14))</f>
      </c>
      <c r="I14" s="1">
        <f>IF(G14="","",IF(COUNTIFS(OH_Item,G14)=0,"NO EXISTE","OK"))</f>
      </c>
    </row>
    <row r="15">
      <c r="A15" s="1" t="n"/>
      <c r="B15" s="1" t="n"/>
      <c r="C15" s="1" t="n"/>
      <c r="D15" s="1" t="n"/>
      <c r="E15" s="1" t="n"/>
      <c r="F15" s="1" t="n"/>
      <c r="G15" s="20" t="n"/>
      <c r="H15" s="21">
        <f>IF(G15="","",SUMIFS(OH_Qty,OH_Item,G15))</f>
      </c>
      <c r="I15" s="1">
        <f>IF(G15="","",IF(COUNTIFS(OH_Item,G15)=0,"NO EXISTE","OK"))</f>
      </c>
    </row>
    <row r="16">
      <c r="A16" s="1" t="n"/>
      <c r="B16" s="1" t="n"/>
      <c r="C16" s="1" t="n"/>
      <c r="D16" s="1" t="n"/>
      <c r="E16" s="1" t="n"/>
      <c r="F16" s="1" t="n"/>
      <c r="G16" s="20" t="n"/>
      <c r="H16" s="21">
        <f>IF(G16="","",SUMIFS(OH_Qty,OH_Item,G16))</f>
      </c>
      <c r="I16" s="1">
        <f>IF(G16="","",IF(COUNTIFS(OH_Item,G16)=0,"NO EXISTE","OK"))</f>
      </c>
    </row>
    <row r="17">
      <c r="A17" s="1" t="n"/>
      <c r="B17" s="1" t="n"/>
      <c r="C17" s="1" t="n"/>
      <c r="D17" s="1" t="n"/>
      <c r="E17" s="1" t="n"/>
      <c r="F17" s="1" t="n"/>
      <c r="G17" s="20" t="n"/>
      <c r="H17" s="21">
        <f>IF(G17="","",SUMIFS(OH_Qty,OH_Item,G17))</f>
      </c>
      <c r="I17" s="1">
        <f>IF(G17="","",IF(COUNTIFS(OH_Item,G17)=0,"NO EXISTE","OK"))</f>
      </c>
    </row>
    <row r="18">
      <c r="A18" s="1" t="n"/>
      <c r="B18" s="1" t="n"/>
      <c r="C18" s="1" t="n"/>
      <c r="D18" s="1" t="n"/>
      <c r="E18" s="1" t="n"/>
      <c r="F18" s="1" t="n"/>
      <c r="G18" s="20" t="n"/>
      <c r="H18" s="21">
        <f>IF(G18="","",SUMIFS(OH_Qty,OH_Item,G18))</f>
      </c>
      <c r="I18" s="1">
        <f>IF(G18="","",IF(COUNTIFS(OH_Item,G18)=0,"NO EXISTE","OK"))</f>
      </c>
    </row>
    <row r="19">
      <c r="A19" s="1" t="n"/>
      <c r="B19" s="1" t="n"/>
      <c r="C19" s="1" t="n"/>
      <c r="D19" s="1" t="n"/>
      <c r="E19" s="1" t="n"/>
      <c r="F19" s="1" t="n"/>
      <c r="G19" s="20" t="n"/>
      <c r="H19" s="21">
        <f>IF(G19="","",SUMIFS(OH_Qty,OH_Item,G19))</f>
      </c>
      <c r="I19" s="1">
        <f>IF(G19="","",IF(COUNTIFS(OH_Item,G19)=0,"NO EXISTE","OK"))</f>
      </c>
    </row>
    <row r="20">
      <c r="A20" s="1" t="n"/>
      <c r="B20" s="1" t="n"/>
      <c r="C20" s="1" t="n"/>
      <c r="D20" s="1" t="n"/>
      <c r="E20" s="1" t="n"/>
      <c r="F20" s="1" t="n"/>
      <c r="G20" s="20" t="n"/>
      <c r="H20" s="21">
        <f>IF(G20="","",SUMIFS(OH_Qty,OH_Item,G20))</f>
      </c>
      <c r="I20" s="1">
        <f>IF(G20="","",IF(COUNTIFS(OH_Item,G20)=0,"NO EXISTE","OK"))</f>
      </c>
    </row>
    <row r="21">
      <c r="A21" s="1" t="n"/>
      <c r="B21" s="1" t="n"/>
      <c r="C21" s="1" t="n"/>
      <c r="D21" s="1" t="n"/>
      <c r="E21" s="1" t="n"/>
      <c r="F21" s="1" t="n"/>
      <c r="G21" s="20" t="n"/>
      <c r="H21" s="21">
        <f>IF(G21="","",SUMIFS(OH_Qty,OH_Item,G21))</f>
      </c>
      <c r="I21" s="1">
        <f>IF(G21="","",IF(COUNTIFS(OH_Item,G21)=0,"NO EXISTE","OK"))</f>
      </c>
    </row>
    <row r="22">
      <c r="A22" s="1" t="n"/>
      <c r="B22" s="1" t="n"/>
      <c r="C22" s="1" t="n"/>
      <c r="D22" s="1" t="n"/>
      <c r="E22" s="1" t="n"/>
      <c r="F22" s="1" t="n"/>
      <c r="G22" s="20" t="n"/>
      <c r="H22" s="21">
        <f>IF(G22="","",SUMIFS(OH_Qty,OH_Item,G22))</f>
      </c>
      <c r="I22" s="1">
        <f>IF(G22="","",IF(COUNTIFS(OH_Item,G22)=0,"NO EXISTE","OK"))</f>
      </c>
    </row>
    <row r="23">
      <c r="A23" s="1" t="n"/>
      <c r="B23" s="1" t="n"/>
      <c r="C23" s="1" t="n"/>
      <c r="D23" s="1" t="n"/>
      <c r="E23" s="1" t="n"/>
      <c r="F23" s="1" t="n"/>
      <c r="G23" s="20" t="n"/>
      <c r="H23" s="21">
        <f>IF(G23="","",SUMIFS(OH_Qty,OH_Item,G23))</f>
      </c>
      <c r="I23" s="1">
        <f>IF(G23="","",IF(COUNTIFS(OH_Item,G23)=0,"NO EXISTE","OK"))</f>
      </c>
    </row>
    <row r="24">
      <c r="A24" s="1" t="n"/>
      <c r="B24" s="1" t="n"/>
      <c r="C24" s="1" t="n"/>
      <c r="D24" s="1" t="n"/>
      <c r="E24" s="1" t="n"/>
      <c r="F24" s="1" t="n"/>
      <c r="G24" s="20" t="n"/>
      <c r="H24" s="21">
        <f>IF(G24="","",SUMIFS(OH_Qty,OH_Item,G24))</f>
      </c>
      <c r="I24" s="1">
        <f>IF(G24="","",IF(COUNTIFS(OH_Item,G24)=0,"NO EXISTE","OK"))</f>
      </c>
    </row>
    <row r="25">
      <c r="A25" s="1" t="n"/>
      <c r="B25" s="1" t="n"/>
      <c r="C25" s="1" t="n"/>
      <c r="D25" s="1" t="n"/>
      <c r="E25" s="1" t="n"/>
      <c r="F25" s="1" t="n"/>
      <c r="G25" s="20" t="n"/>
      <c r="H25" s="21">
        <f>IF(G25="","",SUMIFS(OH_Qty,OH_Item,G25))</f>
      </c>
      <c r="I25" s="1">
        <f>IF(G25="","",IF(COUNTIFS(OH_Item,G25)=0,"NO EXISTE","OK"))</f>
      </c>
    </row>
    <row r="26">
      <c r="A26" s="1" t="n"/>
      <c r="B26" s="1" t="n"/>
      <c r="C26" s="1" t="n"/>
      <c r="D26" s="1" t="n"/>
      <c r="E26" s="1" t="n"/>
      <c r="F26" s="1" t="n"/>
      <c r="G26" s="20" t="n"/>
      <c r="H26" s="21">
        <f>IF(G26="","",SUMIFS(OH_Qty,OH_Item,G26))</f>
      </c>
      <c r="I26" s="1">
        <f>IF(G26="","",IF(COUNTIFS(OH_Item,G26)=0,"NO EXISTE","OK"))</f>
      </c>
    </row>
    <row r="27">
      <c r="A27" s="1" t="n"/>
      <c r="B27" s="1" t="n"/>
      <c r="C27" s="1" t="n"/>
      <c r="D27" s="1" t="n"/>
      <c r="E27" s="1" t="n"/>
      <c r="F27" s="1" t="n"/>
      <c r="G27" s="20" t="n"/>
      <c r="H27" s="21">
        <f>IF(G27="","",SUMIFS(OH_Qty,OH_Item,G27))</f>
      </c>
      <c r="I27" s="1">
        <f>IF(G27="","",IF(COUNTIFS(OH_Item,G27)=0,"NO EXISTE","OK"))</f>
      </c>
    </row>
    <row r="28">
      <c r="A28" s="1" t="n"/>
      <c r="B28" s="1" t="n"/>
      <c r="C28" s="1" t="n"/>
      <c r="D28" s="1" t="n"/>
      <c r="E28" s="1" t="n"/>
      <c r="F28" s="1" t="n"/>
      <c r="G28" s="20" t="n"/>
      <c r="H28" s="21">
        <f>IF(G28="","",SUMIFS(OH_Qty,OH_Item,G28))</f>
      </c>
      <c r="I28" s="1">
        <f>IF(G28="","",IF(COUNTIFS(OH_Item,G28)=0,"NO EXISTE","OK"))</f>
      </c>
    </row>
    <row r="29">
      <c r="A29" s="1" t="n"/>
      <c r="B29" s="1" t="n"/>
      <c r="C29" s="1" t="n"/>
      <c r="D29" s="1" t="n"/>
      <c r="E29" s="1" t="n"/>
      <c r="F29" s="1" t="n"/>
      <c r="G29" s="20" t="n"/>
      <c r="H29" s="21">
        <f>IF(G29="","",SUMIFS(OH_Qty,OH_Item,G29))</f>
      </c>
      <c r="I29" s="1">
        <f>IF(G29="","",IF(COUNTIFS(OH_Item,G29)=0,"NO EXISTE","OK"))</f>
      </c>
    </row>
    <row r="30">
      <c r="A30" s="1" t="n"/>
      <c r="B30" s="1" t="n"/>
      <c r="C30" s="1" t="n"/>
      <c r="D30" s="1" t="n"/>
      <c r="E30" s="1" t="n"/>
      <c r="F30" s="1" t="n"/>
      <c r="G30" s="20" t="n"/>
      <c r="H30" s="21">
        <f>IF(G30="","",SUMIFS(OH_Qty,OH_Item,G30))</f>
      </c>
      <c r="I30" s="1">
        <f>IF(G30="","",IF(COUNTIFS(OH_Item,G30)=0,"NO EXISTE","OK"))</f>
      </c>
    </row>
    <row r="31">
      <c r="A31" s="1" t="n"/>
      <c r="B31" s="1" t="n"/>
      <c r="C31" s="1" t="n"/>
      <c r="D31" s="1" t="n"/>
      <c r="E31" s="1" t="n"/>
      <c r="F31" s="1" t="n"/>
      <c r="G31" s="20" t="n"/>
      <c r="H31" s="21">
        <f>IF(G31="","",SUMIFS(OH_Qty,OH_Item,G31))</f>
      </c>
      <c r="I31" s="1">
        <f>IF(G31="","",IF(COUNTIFS(OH_Item,G31)=0,"NO EXISTE","OK"))</f>
      </c>
    </row>
    <row r="32">
      <c r="A32" s="1" t="n"/>
      <c r="B32" s="1" t="n"/>
      <c r="C32" s="1" t="n"/>
      <c r="D32" s="1" t="n"/>
      <c r="E32" s="1" t="n"/>
      <c r="F32" s="1" t="n"/>
      <c r="G32" s="20" t="n"/>
      <c r="H32" s="21">
        <f>IF(G32="","",SUMIFS(OH_Qty,OH_Item,G32))</f>
      </c>
      <c r="I32" s="1">
        <f>IF(G32="","",IF(COUNTIFS(OH_Item,G32)=0,"NO EXISTE","OK"))</f>
      </c>
    </row>
    <row r="33">
      <c r="A33" s="1" t="n"/>
      <c r="B33" s="1" t="n"/>
      <c r="C33" s="1" t="n"/>
      <c r="D33" s="1" t="n"/>
      <c r="E33" s="1" t="n"/>
      <c r="F33" s="1" t="n"/>
      <c r="G33" s="20" t="n"/>
      <c r="H33" s="21">
        <f>IF(G33="","",SUMIFS(OH_Qty,OH_Item,G33))</f>
      </c>
      <c r="I33" s="1">
        <f>IF(G33="","",IF(COUNTIFS(OH_Item,G33)=0,"NO EXISTE","OK"))</f>
      </c>
    </row>
    <row r="34">
      <c r="A34" s="1" t="n"/>
      <c r="B34" s="1" t="n"/>
      <c r="C34" s="1" t="n"/>
      <c r="D34" s="1" t="n"/>
      <c r="E34" s="1" t="n"/>
      <c r="F34" s="1" t="n"/>
      <c r="G34" s="20" t="n"/>
      <c r="H34" s="21">
        <f>IF(G34="","",SUMIFS(OH_Qty,OH_Item,G34))</f>
      </c>
      <c r="I34" s="1">
        <f>IF(G34="","",IF(COUNTIFS(OH_Item,G34)=0,"NO EXISTE","OK"))</f>
      </c>
    </row>
    <row r="35">
      <c r="A35" s="1" t="n"/>
      <c r="B35" s="1" t="n"/>
      <c r="C35" s="1" t="n"/>
      <c r="D35" s="1" t="n"/>
      <c r="E35" s="1" t="n"/>
      <c r="F35" s="1" t="n"/>
      <c r="G35" s="20" t="n"/>
      <c r="H35" s="21">
        <f>IF(G35="","",SUMIFS(OH_Qty,OH_Item,G35))</f>
      </c>
      <c r="I35" s="1">
        <f>IF(G35="","",IF(COUNTIFS(OH_Item,G35)=0,"NO EXISTE","OK"))</f>
      </c>
    </row>
    <row r="36">
      <c r="A36" s="1" t="n"/>
      <c r="B36" s="1" t="n"/>
      <c r="C36" s="1" t="n"/>
      <c r="D36" s="1" t="n"/>
      <c r="E36" s="1" t="n"/>
      <c r="F36" s="1" t="n"/>
      <c r="G36" s="20" t="n"/>
      <c r="H36" s="21">
        <f>IF(G36="","",SUMIFS(OH_Qty,OH_Item,G36))</f>
      </c>
      <c r="I36" s="1">
        <f>IF(G36="","",IF(COUNTIFS(OH_Item,G36)=0,"NO EXISTE","OK"))</f>
      </c>
    </row>
    <row r="37">
      <c r="A37" s="1" t="n"/>
      <c r="B37" s="1" t="n"/>
      <c r="C37" s="1" t="n"/>
      <c r="D37" s="1" t="n"/>
      <c r="E37" s="1" t="n"/>
      <c r="F37" s="1" t="n"/>
      <c r="G37" s="20" t="n"/>
      <c r="H37" s="21">
        <f>IF(G37="","",SUMIFS(OH_Qty,OH_Item,G37))</f>
      </c>
      <c r="I37" s="1">
        <f>IF(G37="","",IF(COUNTIFS(OH_Item,G37)=0,"NO EXISTE","OK"))</f>
      </c>
    </row>
    <row r="38">
      <c r="A38" s="1" t="n"/>
      <c r="B38" s="1" t="n"/>
      <c r="C38" s="1" t="n"/>
      <c r="D38" s="1" t="n"/>
      <c r="E38" s="1" t="n"/>
      <c r="F38" s="1" t="n"/>
      <c r="G38" s="20" t="n"/>
      <c r="H38" s="21">
        <f>IF(G38="","",SUMIFS(OH_Qty,OH_Item,G38))</f>
      </c>
      <c r="I38" s="1">
        <f>IF(G38="","",IF(COUNTIFS(OH_Item,G38)=0,"NO EXISTE","OK"))</f>
      </c>
    </row>
    <row r="39">
      <c r="A39" s="1" t="n"/>
      <c r="B39" s="1" t="n"/>
      <c r="C39" s="1" t="n"/>
      <c r="D39" s="1" t="n"/>
      <c r="E39" s="1" t="n"/>
      <c r="F39" s="1" t="n"/>
      <c r="G39" s="20" t="n"/>
      <c r="H39" s="21">
        <f>IF(G39="","",SUMIFS(OH_Qty,OH_Item,G39))</f>
      </c>
      <c r="I39" s="1">
        <f>IF(G39="","",IF(COUNTIFS(OH_Item,G39)=0,"NO EXISTE","OK"))</f>
      </c>
    </row>
    <row r="40">
      <c r="A40" s="1" t="n"/>
      <c r="B40" s="1" t="n"/>
      <c r="C40" s="1" t="n"/>
      <c r="D40" s="1" t="n"/>
      <c r="E40" s="1" t="n"/>
      <c r="F40" s="1" t="n"/>
      <c r="G40" s="20" t="n"/>
      <c r="H40" s="21">
        <f>IF(G40="","",SUMIFS(OH_Qty,OH_Item,G40))</f>
      </c>
      <c r="I40" s="1">
        <f>IF(G40="","",IF(COUNTIFS(OH_Item,G40)=0,"NO EXISTE","OK"))</f>
      </c>
    </row>
    <row r="41">
      <c r="A41" s="1" t="n"/>
      <c r="B41" s="1" t="n"/>
      <c r="C41" s="1" t="n"/>
      <c r="D41" s="1" t="n"/>
      <c r="E41" s="1" t="n"/>
      <c r="F41" s="1" t="n"/>
      <c r="G41" s="20" t="n"/>
      <c r="H41" s="21">
        <f>IF(G41="","",SUMIFS(OH_Qty,OH_Item,G41))</f>
      </c>
      <c r="I41" s="1">
        <f>IF(G41="","",IF(COUNTIFS(OH_Item,G41)=0,"NO EXISTE","OK"))</f>
      </c>
    </row>
    <row r="42">
      <c r="A42" s="1" t="n"/>
      <c r="B42" s="1" t="n"/>
      <c r="C42" s="1" t="n"/>
      <c r="D42" s="1" t="n"/>
      <c r="E42" s="1" t="n"/>
      <c r="F42" s="1" t="n"/>
      <c r="G42" s="20" t="n"/>
      <c r="H42" s="21">
        <f>IF(G42="","",SUMIFS(OH_Qty,OH_Item,G42))</f>
      </c>
      <c r="I42" s="1">
        <f>IF(G42="","",IF(COUNTIFS(OH_Item,G42)=0,"NO EXISTE","OK"))</f>
      </c>
    </row>
    <row r="43">
      <c r="A43" s="1" t="n"/>
      <c r="B43" s="1" t="n"/>
      <c r="C43" s="1" t="n"/>
      <c r="D43" s="1" t="n"/>
      <c r="E43" s="1" t="n"/>
      <c r="F43" s="1" t="n"/>
      <c r="G43" s="20" t="n"/>
      <c r="H43" s="21">
        <f>IF(G43="","",SUMIFS(OH_Qty,OH_Item,G43))</f>
      </c>
      <c r="I43" s="1">
        <f>IF(G43="","",IF(COUNTIFS(OH_Item,G43)=0,"NO EXISTE","OK"))</f>
      </c>
    </row>
    <row r="44">
      <c r="A44" s="1" t="n"/>
      <c r="B44" s="1" t="n"/>
      <c r="C44" s="1" t="n"/>
      <c r="D44" s="1" t="n"/>
      <c r="E44" s="1" t="n"/>
      <c r="F44" s="1" t="n"/>
      <c r="G44" s="20" t="n"/>
      <c r="H44" s="21">
        <f>IF(G44="","",SUMIFS(OH_Qty,OH_Item,G44))</f>
      </c>
      <c r="I44" s="1">
        <f>IF(G44="","",IF(COUNTIFS(OH_Item,G44)=0,"NO EXISTE","OK"))</f>
      </c>
    </row>
    <row r="45">
      <c r="A45" s="1" t="n"/>
      <c r="B45" s="1" t="n"/>
      <c r="C45" s="1" t="n"/>
      <c r="D45" s="1" t="n"/>
      <c r="E45" s="1" t="n"/>
      <c r="F45" s="1" t="n"/>
      <c r="G45" s="20" t="n"/>
      <c r="H45" s="21">
        <f>IF(G45="","",SUMIFS(OH_Qty,OH_Item,G45))</f>
      </c>
      <c r="I45" s="1">
        <f>IF(G45="","",IF(COUNTIFS(OH_Item,G45)=0,"NO EXISTE","OK"))</f>
      </c>
    </row>
    <row r="46">
      <c r="A46" s="1" t="n"/>
      <c r="B46" s="1" t="n"/>
      <c r="C46" s="1" t="n"/>
      <c r="D46" s="1" t="n"/>
      <c r="E46" s="1" t="n"/>
      <c r="F46" s="1" t="n"/>
      <c r="G46" s="20" t="n"/>
      <c r="H46" s="21">
        <f>IF(G46="","",SUMIFS(OH_Qty,OH_Item,G46))</f>
      </c>
      <c r="I46" s="1">
        <f>IF(G46="","",IF(COUNTIFS(OH_Item,G46)=0,"NO EXISTE","OK"))</f>
      </c>
    </row>
    <row r="47">
      <c r="A47" s="1" t="n"/>
      <c r="B47" s="1" t="n"/>
      <c r="C47" s="1" t="n"/>
      <c r="D47" s="1" t="n"/>
      <c r="E47" s="1" t="n"/>
      <c r="F47" s="1" t="n"/>
      <c r="G47" s="20" t="n"/>
      <c r="H47" s="21">
        <f>IF(G47="","",SUMIFS(OH_Qty,OH_Item,G47))</f>
      </c>
      <c r="I47" s="1">
        <f>IF(G47="","",IF(COUNTIFS(OH_Item,G47)=0,"NO EXISTE","OK"))</f>
      </c>
    </row>
    <row r="48">
      <c r="A48" s="1" t="n"/>
      <c r="B48" s="1" t="n"/>
      <c r="C48" s="1" t="n"/>
      <c r="D48" s="1" t="n"/>
      <c r="E48" s="1" t="n"/>
      <c r="F48" s="1" t="n"/>
      <c r="G48" s="20" t="n"/>
      <c r="H48" s="21">
        <f>IF(G48="","",SUMIFS(OH_Qty,OH_Item,G48))</f>
      </c>
      <c r="I48" s="1">
        <f>IF(G48="","",IF(COUNTIFS(OH_Item,G48)=0,"NO EXISTE","OK"))</f>
      </c>
    </row>
    <row r="49">
      <c r="A49" s="1" t="n"/>
      <c r="B49" s="1" t="n"/>
      <c r="C49" s="1" t="n"/>
      <c r="D49" s="1" t="n"/>
      <c r="E49" s="1" t="n"/>
      <c r="F49" s="1" t="n"/>
      <c r="G49" s="20" t="n"/>
      <c r="H49" s="21">
        <f>IF(G49="","",SUMIFS(OH_Qty,OH_Item,G49))</f>
      </c>
      <c r="I49" s="1">
        <f>IF(G49="","",IF(COUNTIFS(OH_Item,G49)=0,"NO EXISTE","OK"))</f>
      </c>
    </row>
    <row r="50">
      <c r="A50" s="1" t="n"/>
      <c r="B50" s="1" t="n"/>
      <c r="C50" s="1" t="n"/>
      <c r="D50" s="1" t="n"/>
      <c r="E50" s="1" t="n"/>
      <c r="F50" s="1" t="n"/>
      <c r="G50" s="20" t="n"/>
      <c r="H50" s="21">
        <f>IF(G50="","",SUMIFS(OH_Qty,OH_Item,G50))</f>
      </c>
      <c r="I50" s="1">
        <f>IF(G50="","",IF(COUNTIFS(OH_Item,G50)=0,"NO EXISTE","OK"))</f>
      </c>
    </row>
    <row r="51">
      <c r="A51" s="1" t="n"/>
      <c r="B51" s="1" t="n"/>
      <c r="C51" s="1" t="n"/>
      <c r="D51" s="1" t="n"/>
      <c r="E51" s="1" t="n"/>
      <c r="F51" s="1" t="n"/>
      <c r="G51" s="20" t="n"/>
      <c r="H51" s="21">
        <f>IF(G51="","",SUMIFS(OH_Qty,OH_Item,G51))</f>
      </c>
      <c r="I51" s="1">
        <f>IF(G51="","",IF(COUNTIFS(OH_Item,G51)=0,"NO EXISTE","OK"))</f>
      </c>
    </row>
    <row r="52">
      <c r="A52" s="1" t="n"/>
      <c r="B52" s="1" t="n"/>
      <c r="C52" s="1" t="n"/>
      <c r="D52" s="1" t="n"/>
      <c r="E52" s="1" t="n"/>
      <c r="F52" s="1" t="n"/>
      <c r="G52" s="20" t="n"/>
      <c r="H52" s="21">
        <f>IF(G52="","",SUMIFS(OH_Qty,OH_Item,G52))</f>
      </c>
      <c r="I52" s="1">
        <f>IF(G52="","",IF(COUNTIFS(OH_Item,G52)=0,"NO EXISTE","OK"))</f>
      </c>
    </row>
    <row r="53">
      <c r="A53" s="1" t="n"/>
      <c r="B53" s="1" t="n"/>
      <c r="C53" s="1" t="n"/>
      <c r="D53" s="1" t="n"/>
      <c r="E53" s="1" t="n"/>
      <c r="F53" s="1" t="n"/>
      <c r="G53" s="20" t="n"/>
      <c r="H53" s="21">
        <f>IF(G53="","",SUMIFS(OH_Qty,OH_Item,G53))</f>
      </c>
      <c r="I53" s="1">
        <f>IF(G53="","",IF(COUNTIFS(OH_Item,G53)=0,"NO EXISTE","OK"))</f>
      </c>
    </row>
    <row r="54">
      <c r="A54" s="1" t="n"/>
      <c r="B54" s="1" t="n"/>
      <c r="C54" s="1" t="n"/>
      <c r="D54" s="1" t="n"/>
      <c r="E54" s="1" t="n"/>
      <c r="F54" s="1" t="n"/>
      <c r="G54" s="20" t="n"/>
      <c r="H54" s="21">
        <f>IF(G54="","",SUMIFS(OH_Qty,OH_Item,G54))</f>
      </c>
      <c r="I54" s="1">
        <f>IF(G54="","",IF(COUNTIFS(OH_Item,G54)=0,"NO EXISTE","OK"))</f>
      </c>
    </row>
    <row r="55">
      <c r="A55" s="1" t="n"/>
      <c r="B55" s="1" t="n"/>
      <c r="C55" s="1" t="n"/>
      <c r="D55" s="1" t="n"/>
      <c r="E55" s="1" t="n"/>
      <c r="F55" s="1" t="n"/>
      <c r="G55" s="20" t="n"/>
      <c r="H55" s="21">
        <f>IF(G55="","",SUMIFS(OH_Qty,OH_Item,G55))</f>
      </c>
      <c r="I55" s="1">
        <f>IF(G55="","",IF(COUNTIFS(OH_Item,G55)=0,"NO EXISTE","OK"))</f>
      </c>
    </row>
    <row r="56">
      <c r="A56" s="1" t="n"/>
      <c r="B56" s="1" t="n"/>
      <c r="C56" s="1" t="n"/>
      <c r="D56" s="1" t="n"/>
      <c r="E56" s="1" t="n"/>
      <c r="F56" s="1" t="n"/>
      <c r="G56" s="20" t="n"/>
      <c r="H56" s="21">
        <f>IF(G56="","",SUMIFS(OH_Qty,OH_Item,G56))</f>
      </c>
      <c r="I56" s="1">
        <f>IF(G56="","",IF(COUNTIFS(OH_Item,G56)=0,"NO EXISTE","OK"))</f>
      </c>
    </row>
    <row r="57">
      <c r="A57" s="1" t="n"/>
      <c r="B57" s="1" t="n"/>
      <c r="C57" s="1" t="n"/>
      <c r="D57" s="1" t="n"/>
      <c r="E57" s="1" t="n"/>
      <c r="F57" s="1" t="n"/>
      <c r="G57" s="20" t="n"/>
      <c r="H57" s="21">
        <f>IF(G57="","",SUMIFS(OH_Qty,OH_Item,G57))</f>
      </c>
      <c r="I57" s="1">
        <f>IF(G57="","",IF(COUNTIFS(OH_Item,G57)=0,"NO EXISTE","OK"))</f>
      </c>
    </row>
    <row r="58">
      <c r="A58" s="1" t="n"/>
      <c r="B58" s="1" t="n"/>
      <c r="C58" s="1" t="n"/>
      <c r="D58" s="1" t="n"/>
      <c r="E58" s="1" t="n"/>
      <c r="F58" s="1" t="n"/>
      <c r="G58" s="20" t="n"/>
      <c r="H58" s="21">
        <f>IF(G58="","",SUMIFS(OH_Qty,OH_Item,G58))</f>
      </c>
      <c r="I58" s="1">
        <f>IF(G58="","",IF(COUNTIFS(OH_Item,G58)=0,"NO EXISTE","OK"))</f>
      </c>
    </row>
    <row r="59">
      <c r="A59" s="1" t="n"/>
      <c r="B59" s="1" t="n"/>
      <c r="C59" s="1" t="n"/>
      <c r="D59" s="1" t="n"/>
      <c r="E59" s="1" t="n"/>
      <c r="F59" s="1" t="n"/>
      <c r="G59" s="20" t="n"/>
      <c r="H59" s="21">
        <f>IF(G59="","",SUMIFS(OH_Qty,OH_Item,G59))</f>
      </c>
      <c r="I59" s="1">
        <f>IF(G59="","",IF(COUNTIFS(OH_Item,G59)=0,"NO EXISTE","OK"))</f>
      </c>
    </row>
    <row r="60">
      <c r="A60" s="1" t="n"/>
      <c r="B60" s="1" t="n"/>
      <c r="C60" s="1" t="n"/>
      <c r="D60" s="1" t="n"/>
      <c r="E60" s="1" t="n"/>
      <c r="F60" s="1" t="n"/>
      <c r="G60" s="20" t="n"/>
      <c r="H60" s="21">
        <f>IF(G60="","",SUMIFS(OH_Qty,OH_Item,G60))</f>
      </c>
      <c r="I60" s="1">
        <f>IF(G60="","",IF(COUNTIFS(OH_Item,G60)=0,"NO EXISTE","OK"))</f>
      </c>
    </row>
    <row r="61">
      <c r="A61" s="1" t="n"/>
      <c r="B61" s="1" t="n"/>
      <c r="C61" s="1" t="n"/>
      <c r="D61" s="1" t="n"/>
      <c r="E61" s="1" t="n"/>
      <c r="F61" s="1" t="n"/>
      <c r="G61" s="20" t="n"/>
      <c r="H61" s="21">
        <f>IF(G61="","",SUMIFS(OH_Qty,OH_Item,G61))</f>
      </c>
      <c r="I61" s="1">
        <f>IF(G61="","",IF(COUNTIFS(OH_Item,G61)=0,"NO EXISTE","OK"))</f>
      </c>
    </row>
    <row r="62">
      <c r="A62" s="1" t="n"/>
      <c r="B62" s="1" t="n"/>
      <c r="C62" s="1" t="n"/>
      <c r="D62" s="1" t="n"/>
      <c r="E62" s="1" t="n"/>
      <c r="F62" s="1" t="n"/>
      <c r="G62" s="20" t="n"/>
      <c r="H62" s="21">
        <f>IF(G62="","",SUMIFS(OH_Qty,OH_Item,G62))</f>
      </c>
      <c r="I62" s="1">
        <f>IF(G62="","",IF(COUNTIFS(OH_Item,G62)=0,"NO EXISTE","OK"))</f>
      </c>
    </row>
    <row r="63">
      <c r="A63" s="1" t="n"/>
      <c r="B63" s="1" t="n"/>
      <c r="C63" s="1" t="n"/>
      <c r="D63" s="1" t="n"/>
      <c r="E63" s="1" t="n"/>
      <c r="F63" s="1" t="n"/>
      <c r="G63" s="20" t="n"/>
      <c r="H63" s="21">
        <f>IF(G63="","",SUMIFS(OH_Qty,OH_Item,G63))</f>
      </c>
      <c r="I63" s="1">
        <f>IF(G63="","",IF(COUNTIFS(OH_Item,G63)=0,"NO EXISTE","OK"))</f>
      </c>
    </row>
    <row r="64">
      <c r="A64" s="1" t="n"/>
      <c r="B64" s="1" t="n"/>
      <c r="C64" s="1" t="n"/>
      <c r="D64" s="1" t="n"/>
      <c r="E64" s="1" t="n"/>
      <c r="F64" s="1" t="n"/>
      <c r="G64" s="20" t="n"/>
      <c r="H64" s="21">
        <f>IF(G64="","",SUMIFS(OH_Qty,OH_Item,G64))</f>
      </c>
      <c r="I64" s="1">
        <f>IF(G64="","",IF(COUNTIFS(OH_Item,G64)=0,"NO EXISTE","OK"))</f>
      </c>
    </row>
    <row r="65">
      <c r="A65" s="1" t="n"/>
      <c r="B65" s="1" t="n"/>
      <c r="C65" s="1" t="n"/>
      <c r="D65" s="1" t="n"/>
      <c r="E65" s="1" t="n"/>
      <c r="F65" s="1" t="n"/>
      <c r="G65" s="20" t="n"/>
      <c r="H65" s="21">
        <f>IF(G65="","",SUMIFS(OH_Qty,OH_Item,G65))</f>
      </c>
      <c r="I65" s="1">
        <f>IF(G65="","",IF(COUNTIFS(OH_Item,G65)=0,"NO EXISTE","OK"))</f>
      </c>
    </row>
    <row r="66">
      <c r="A66" s="1" t="n"/>
      <c r="B66" s="1" t="n"/>
      <c r="C66" s="1" t="n"/>
      <c r="D66" s="1" t="n"/>
      <c r="E66" s="1" t="n"/>
      <c r="F66" s="1" t="n"/>
      <c r="G66" s="20" t="n"/>
      <c r="H66" s="21">
        <f>IF(G66="","",SUMIFS(OH_Qty,OH_Item,G66))</f>
      </c>
      <c r="I66" s="1">
        <f>IF(G66="","",IF(COUNTIFS(OH_Item,G66)=0,"NO EXISTE","OK"))</f>
      </c>
    </row>
    <row r="67">
      <c r="A67" s="1" t="n"/>
      <c r="B67" s="1" t="n"/>
      <c r="C67" s="1" t="n"/>
      <c r="D67" s="1" t="n"/>
      <c r="E67" s="1" t="n"/>
      <c r="F67" s="1" t="n"/>
      <c r="G67" s="20" t="n"/>
      <c r="H67" s="21">
        <f>IF(G67="","",SUMIFS(OH_Qty,OH_Item,G67))</f>
      </c>
      <c r="I67" s="1">
        <f>IF(G67="","",IF(COUNTIFS(OH_Item,G67)=0,"NO EXISTE","OK"))</f>
      </c>
    </row>
    <row r="68">
      <c r="A68" s="1" t="n"/>
      <c r="B68" s="1" t="n"/>
      <c r="C68" s="1" t="n"/>
      <c r="D68" s="1" t="n"/>
      <c r="E68" s="1" t="n"/>
      <c r="F68" s="1" t="n"/>
      <c r="G68" s="20" t="n"/>
      <c r="H68" s="21">
        <f>IF(G68="","",SUMIFS(OH_Qty,OH_Item,G68))</f>
      </c>
      <c r="I68" s="1">
        <f>IF(G68="","",IF(COUNTIFS(OH_Item,G68)=0,"NO EXISTE","OK"))</f>
      </c>
    </row>
    <row r="69">
      <c r="A69" s="1" t="n"/>
      <c r="B69" s="1" t="n"/>
      <c r="C69" s="1" t="n"/>
      <c r="D69" s="1" t="n"/>
      <c r="E69" s="1" t="n"/>
      <c r="F69" s="1" t="n"/>
      <c r="G69" s="20" t="n"/>
      <c r="H69" s="21">
        <f>IF(G69="","",SUMIFS(OH_Qty,OH_Item,G69))</f>
      </c>
      <c r="I69" s="1">
        <f>IF(G69="","",IF(COUNTIFS(OH_Item,G69)=0,"NO EXISTE","OK"))</f>
      </c>
    </row>
    <row r="70">
      <c r="A70" s="1" t="n"/>
      <c r="B70" s="1" t="n"/>
      <c r="C70" s="1" t="n"/>
      <c r="D70" s="1" t="n"/>
      <c r="E70" s="1" t="n"/>
      <c r="F70" s="1" t="n"/>
      <c r="G70" s="20" t="n"/>
      <c r="H70" s="21">
        <f>IF(G70="","",SUMIFS(OH_Qty,OH_Item,G70))</f>
      </c>
      <c r="I70" s="1">
        <f>IF(G70="","",IF(COUNTIFS(OH_Item,G70)=0,"NO EXISTE","OK"))</f>
      </c>
    </row>
    <row r="71">
      <c r="A71" s="1" t="n"/>
      <c r="B71" s="1" t="n"/>
      <c r="C71" s="1" t="n"/>
      <c r="D71" s="1" t="n"/>
      <c r="E71" s="1" t="n"/>
      <c r="F71" s="1" t="n"/>
      <c r="G71" s="20" t="n"/>
      <c r="H71" s="21">
        <f>IF(G71="","",SUMIFS(OH_Qty,OH_Item,G71))</f>
      </c>
      <c r="I71" s="1">
        <f>IF(G71="","",IF(COUNTIFS(OH_Item,G71)=0,"NO EXISTE","OK"))</f>
      </c>
    </row>
    <row r="72">
      <c r="A72" s="1" t="n"/>
      <c r="B72" s="1" t="n"/>
      <c r="C72" s="1" t="n"/>
      <c r="D72" s="1" t="n"/>
      <c r="E72" s="1" t="n"/>
      <c r="F72" s="1" t="n"/>
      <c r="G72" s="20" t="n"/>
      <c r="H72" s="21">
        <f>IF(G72="","",SUMIFS(OH_Qty,OH_Item,G72))</f>
      </c>
      <c r="I72" s="1">
        <f>IF(G72="","",IF(COUNTIFS(OH_Item,G72)=0,"NO EXISTE","OK"))</f>
      </c>
    </row>
    <row r="73">
      <c r="A73" s="1" t="n"/>
      <c r="B73" s="1" t="n"/>
      <c r="C73" s="1" t="n"/>
      <c r="D73" s="1" t="n"/>
      <c r="E73" s="1" t="n"/>
      <c r="F73" s="1" t="n"/>
      <c r="G73" s="20" t="n"/>
      <c r="H73" s="21">
        <f>IF(G73="","",SUMIFS(OH_Qty,OH_Item,G73))</f>
      </c>
      <c r="I73" s="1">
        <f>IF(G73="","",IF(COUNTIFS(OH_Item,G73)=0,"NO EXISTE","OK"))</f>
      </c>
    </row>
    <row r="74">
      <c r="A74" s="1" t="n"/>
      <c r="B74" s="1" t="n"/>
      <c r="C74" s="1" t="n"/>
      <c r="D74" s="1" t="n"/>
      <c r="E74" s="1" t="n"/>
      <c r="F74" s="1" t="n"/>
      <c r="G74" s="20" t="n"/>
      <c r="H74" s="21">
        <f>IF(G74="","",SUMIFS(OH_Qty,OH_Item,G74))</f>
      </c>
      <c r="I74" s="1">
        <f>IF(G74="","",IF(COUNTIFS(OH_Item,G74)=0,"NO EXISTE","OK"))</f>
      </c>
    </row>
    <row r="75">
      <c r="A75" s="1" t="n"/>
      <c r="B75" s="1" t="n"/>
      <c r="C75" s="1" t="n"/>
      <c r="D75" s="1" t="n"/>
      <c r="E75" s="1" t="n"/>
      <c r="F75" s="1" t="n"/>
      <c r="G75" s="20" t="n"/>
      <c r="H75" s="21">
        <f>IF(G75="","",SUMIFS(OH_Qty,OH_Item,G75))</f>
      </c>
      <c r="I75" s="1">
        <f>IF(G75="","",IF(COUNTIFS(OH_Item,G75)=0,"NO EXISTE","OK"))</f>
      </c>
    </row>
    <row r="76">
      <c r="A76" s="1" t="n"/>
      <c r="B76" s="1" t="n"/>
      <c r="C76" s="1" t="n"/>
      <c r="D76" s="1" t="n"/>
      <c r="E76" s="1" t="n"/>
      <c r="F76" s="1" t="n"/>
      <c r="G76" s="20" t="n"/>
      <c r="H76" s="21">
        <f>IF(G76="","",SUMIFS(OH_Qty,OH_Item,G76))</f>
      </c>
      <c r="I76" s="1">
        <f>IF(G76="","",IF(COUNTIFS(OH_Item,G76)=0,"NO EXISTE","OK"))</f>
      </c>
    </row>
    <row r="77">
      <c r="A77" s="1" t="n"/>
      <c r="B77" s="1" t="n"/>
      <c r="C77" s="1" t="n"/>
      <c r="D77" s="1" t="n"/>
      <c r="E77" s="1" t="n"/>
      <c r="F77" s="1" t="n"/>
      <c r="G77" s="20" t="n"/>
      <c r="H77" s="21">
        <f>IF(G77="","",SUMIFS(OH_Qty,OH_Item,G77))</f>
      </c>
      <c r="I77" s="1">
        <f>IF(G77="","",IF(COUNTIFS(OH_Item,G77)=0,"NO EXISTE","OK"))</f>
      </c>
    </row>
    <row r="78">
      <c r="A78" s="1" t="n"/>
      <c r="B78" s="1" t="n"/>
      <c r="C78" s="1" t="n"/>
      <c r="D78" s="1" t="n"/>
      <c r="E78" s="1" t="n"/>
      <c r="F78" s="1" t="n"/>
      <c r="G78" s="20" t="n"/>
      <c r="H78" s="21">
        <f>IF(G78="","",SUMIFS(OH_Qty,OH_Item,G78))</f>
      </c>
      <c r="I78" s="1">
        <f>IF(G78="","",IF(COUNTIFS(OH_Item,G78)=0,"NO EXISTE","OK"))</f>
      </c>
    </row>
    <row r="79">
      <c r="A79" s="1" t="n"/>
      <c r="B79" s="1" t="n"/>
      <c r="C79" s="1" t="n"/>
      <c r="D79" s="1" t="n"/>
      <c r="E79" s="1" t="n"/>
      <c r="F79" s="1" t="n"/>
      <c r="G79" s="20" t="n"/>
      <c r="H79" s="21">
        <f>IF(G79="","",SUMIFS(OH_Qty,OH_Item,G79))</f>
      </c>
      <c r="I79" s="1">
        <f>IF(G79="","",IF(COUNTIFS(OH_Item,G79)=0,"NO EXISTE","OK"))</f>
      </c>
    </row>
    <row r="80">
      <c r="A80" s="1" t="n"/>
      <c r="B80" s="1" t="n"/>
      <c r="C80" s="1" t="n"/>
      <c r="D80" s="1" t="n"/>
      <c r="E80" s="1" t="n"/>
      <c r="F80" s="1" t="n"/>
      <c r="G80" s="20" t="n"/>
      <c r="H80" s="21">
        <f>IF(G80="","",SUMIFS(OH_Qty,OH_Item,G80))</f>
      </c>
      <c r="I80" s="1">
        <f>IF(G80="","",IF(COUNTIFS(OH_Item,G80)=0,"NO EXISTE","OK"))</f>
      </c>
    </row>
    <row r="81">
      <c r="A81" s="1" t="n"/>
      <c r="B81" s="1" t="n"/>
      <c r="C81" s="1" t="n"/>
      <c r="D81" s="1" t="n"/>
      <c r="E81" s="1" t="n"/>
      <c r="F81" s="1" t="n"/>
      <c r="G81" s="20" t="n"/>
      <c r="H81" s="21">
        <f>IF(G81="","",SUMIFS(OH_Qty,OH_Item,G81))</f>
      </c>
      <c r="I81" s="1">
        <f>IF(G81="","",IF(COUNTIFS(OH_Item,G81)=0,"NO EXISTE","OK"))</f>
      </c>
    </row>
    <row r="82">
      <c r="A82" s="1" t="n"/>
      <c r="B82" s="1" t="n"/>
      <c r="C82" s="1" t="n"/>
      <c r="D82" s="1" t="n"/>
      <c r="E82" s="1" t="n"/>
      <c r="F82" s="1" t="n"/>
      <c r="G82" s="20" t="n"/>
      <c r="H82" s="21">
        <f>IF(G82="","",SUMIFS(OH_Qty,OH_Item,G82))</f>
      </c>
      <c r="I82" s="1">
        <f>IF(G82="","",IF(COUNTIFS(OH_Item,G82)=0,"NO EXISTE","OK"))</f>
      </c>
    </row>
    <row r="83">
      <c r="A83" s="1" t="n"/>
      <c r="B83" s="1" t="n"/>
      <c r="C83" s="1" t="n"/>
      <c r="D83" s="1" t="n"/>
      <c r="E83" s="1" t="n"/>
      <c r="F83" s="1" t="n"/>
      <c r="G83" s="20" t="n"/>
      <c r="H83" s="21">
        <f>IF(G83="","",SUMIFS(OH_Qty,OH_Item,G83))</f>
      </c>
      <c r="I83" s="1">
        <f>IF(G83="","",IF(COUNTIFS(OH_Item,G83)=0,"NO EXISTE","OK"))</f>
      </c>
    </row>
    <row r="84">
      <c r="A84" s="1" t="n"/>
      <c r="B84" s="1" t="n"/>
      <c r="C84" s="1" t="n"/>
      <c r="D84" s="1" t="n"/>
      <c r="E84" s="1" t="n"/>
      <c r="F84" s="1" t="n"/>
      <c r="G84" s="20" t="n"/>
      <c r="H84" s="21">
        <f>IF(G84="","",SUMIFS(OH_Qty,OH_Item,G84))</f>
      </c>
      <c r="I84" s="1">
        <f>IF(G84="","",IF(COUNTIFS(OH_Item,G84)=0,"NO EXISTE","OK"))</f>
      </c>
    </row>
    <row r="85">
      <c r="A85" s="1" t="n"/>
      <c r="B85" s="1" t="n"/>
      <c r="C85" s="1" t="n"/>
      <c r="D85" s="1" t="n"/>
      <c r="E85" s="1" t="n"/>
      <c r="F85" s="1" t="n"/>
      <c r="G85" s="20" t="n"/>
      <c r="H85" s="21">
        <f>IF(G85="","",SUMIFS(OH_Qty,OH_Item,G85))</f>
      </c>
      <c r="I85" s="1">
        <f>IF(G85="","",IF(COUNTIFS(OH_Item,G85)=0,"NO EXISTE","OK"))</f>
      </c>
    </row>
    <row r="86">
      <c r="A86" s="1" t="n"/>
      <c r="B86" s="1" t="n"/>
      <c r="C86" s="1" t="n"/>
      <c r="D86" s="1" t="n"/>
      <c r="E86" s="1" t="n"/>
      <c r="F86" s="1" t="n"/>
      <c r="G86" s="20" t="n"/>
      <c r="H86" s="21">
        <f>IF(G86="","",SUMIFS(OH_Qty,OH_Item,G86))</f>
      </c>
      <c r="I86" s="1">
        <f>IF(G86="","",IF(COUNTIFS(OH_Item,G86)=0,"NO EXISTE","OK"))</f>
      </c>
    </row>
    <row r="87">
      <c r="A87" s="1" t="n"/>
      <c r="B87" s="1" t="n"/>
      <c r="C87" s="1" t="n"/>
      <c r="D87" s="1" t="n"/>
      <c r="E87" s="1" t="n"/>
      <c r="F87" s="1" t="n"/>
      <c r="G87" s="20" t="n"/>
      <c r="H87" s="21">
        <f>IF(G87="","",SUMIFS(OH_Qty,OH_Item,G87))</f>
      </c>
      <c r="I87" s="1">
        <f>IF(G87="","",IF(COUNTIFS(OH_Item,G87)=0,"NO EXISTE","OK"))</f>
      </c>
    </row>
    <row r="88">
      <c r="A88" s="1" t="n"/>
      <c r="B88" s="1" t="n"/>
      <c r="C88" s="1" t="n"/>
      <c r="D88" s="1" t="n"/>
      <c r="E88" s="1" t="n"/>
      <c r="F88" s="1" t="n"/>
      <c r="G88" s="20" t="n"/>
      <c r="H88" s="21">
        <f>IF(G88="","",SUMIFS(OH_Qty,OH_Item,G88))</f>
      </c>
      <c r="I88" s="1">
        <f>IF(G88="","",IF(COUNTIFS(OH_Item,G88)=0,"NO EXISTE","OK"))</f>
      </c>
    </row>
    <row r="89">
      <c r="A89" s="1" t="n"/>
      <c r="B89" s="1" t="n"/>
      <c r="C89" s="1" t="n"/>
      <c r="D89" s="1" t="n"/>
      <c r="E89" s="1" t="n"/>
      <c r="F89" s="1" t="n"/>
      <c r="G89" s="20" t="n"/>
      <c r="H89" s="21">
        <f>IF(G89="","",SUMIFS(OH_Qty,OH_Item,G89))</f>
      </c>
      <c r="I89" s="1">
        <f>IF(G89="","",IF(COUNTIFS(OH_Item,G89)=0,"NO EXISTE","OK"))</f>
      </c>
    </row>
    <row r="90">
      <c r="A90" s="1" t="n"/>
      <c r="B90" s="1" t="n"/>
      <c r="C90" s="1" t="n"/>
      <c r="D90" s="1" t="n"/>
      <c r="E90" s="1" t="n"/>
      <c r="F90" s="1" t="n"/>
      <c r="G90" s="20" t="n"/>
      <c r="H90" s="21">
        <f>IF(G90="","",SUMIFS(OH_Qty,OH_Item,G90))</f>
      </c>
      <c r="I90" s="1">
        <f>IF(G90="","",IF(COUNTIFS(OH_Item,G90)=0,"NO EXISTE","OK"))</f>
      </c>
    </row>
    <row r="91">
      <c r="A91" s="1" t="n"/>
      <c r="B91" s="1" t="n"/>
      <c r="C91" s="1" t="n"/>
      <c r="D91" s="1" t="n"/>
      <c r="E91" s="1" t="n"/>
      <c r="F91" s="1" t="n"/>
      <c r="G91" s="20" t="n"/>
      <c r="H91" s="21">
        <f>IF(G91="","",SUMIFS(OH_Qty,OH_Item,G91))</f>
      </c>
      <c r="I91" s="1">
        <f>IF(G91="","",IF(COUNTIFS(OH_Item,G91)=0,"NO EXISTE","OK"))</f>
      </c>
    </row>
    <row r="92">
      <c r="A92" s="1" t="n"/>
      <c r="B92" s="1" t="n"/>
      <c r="C92" s="1" t="n"/>
      <c r="D92" s="1" t="n"/>
      <c r="E92" s="1" t="n"/>
      <c r="F92" s="1" t="n"/>
      <c r="G92" s="20" t="n"/>
      <c r="H92" s="21">
        <f>IF(G92="","",SUMIFS(OH_Qty,OH_Item,G92))</f>
      </c>
      <c r="I92" s="1">
        <f>IF(G92="","",IF(COUNTIFS(OH_Item,G92)=0,"NO EXISTE","OK"))</f>
      </c>
    </row>
    <row r="93">
      <c r="A93" s="1" t="n"/>
      <c r="B93" s="1" t="n"/>
      <c r="C93" s="1" t="n"/>
      <c r="D93" s="1" t="n"/>
      <c r="E93" s="1" t="n"/>
      <c r="F93" s="1" t="n"/>
      <c r="G93" s="20" t="n"/>
      <c r="H93" s="21">
        <f>IF(G93="","",SUMIFS(OH_Qty,OH_Item,G93))</f>
      </c>
      <c r="I93" s="1">
        <f>IF(G93="","",IF(COUNTIFS(OH_Item,G93)=0,"NO EXISTE","OK"))</f>
      </c>
    </row>
    <row r="94">
      <c r="A94" s="1" t="n"/>
      <c r="B94" s="1" t="n"/>
      <c r="C94" s="1" t="n"/>
      <c r="D94" s="1" t="n"/>
      <c r="E94" s="1" t="n"/>
      <c r="F94" s="1" t="n"/>
      <c r="G94" s="20" t="n"/>
      <c r="H94" s="21">
        <f>IF(G94="","",SUMIFS(OH_Qty,OH_Item,G94))</f>
      </c>
      <c r="I94" s="1">
        <f>IF(G94="","",IF(COUNTIFS(OH_Item,G94)=0,"NO EXISTE","OK"))</f>
      </c>
    </row>
    <row r="95">
      <c r="A95" s="1" t="n"/>
      <c r="B95" s="1" t="n"/>
      <c r="C95" s="1" t="n"/>
      <c r="D95" s="1" t="n"/>
      <c r="E95" s="1" t="n"/>
      <c r="F95" s="1" t="n"/>
      <c r="G95" s="20" t="n"/>
      <c r="H95" s="21">
        <f>IF(G95="","",SUMIFS(OH_Qty,OH_Item,G95))</f>
      </c>
      <c r="I95" s="1">
        <f>IF(G95="","",IF(COUNTIFS(OH_Item,G95)=0,"NO EXISTE","OK"))</f>
      </c>
    </row>
    <row r="96">
      <c r="A96" s="1" t="n"/>
      <c r="B96" s="1" t="n"/>
      <c r="C96" s="1" t="n"/>
      <c r="D96" s="1" t="n"/>
      <c r="E96" s="1" t="n"/>
      <c r="F96" s="1" t="n"/>
      <c r="G96" s="20" t="n"/>
      <c r="H96" s="21">
        <f>IF(G96="","",SUMIFS(OH_Qty,OH_Item,G96))</f>
      </c>
      <c r="I96" s="1">
        <f>IF(G96="","",IF(COUNTIFS(OH_Item,G96)=0,"NO EXISTE","OK"))</f>
      </c>
    </row>
    <row r="97">
      <c r="A97" s="1" t="n"/>
      <c r="B97" s="1" t="n"/>
      <c r="C97" s="1" t="n"/>
      <c r="D97" s="1" t="n"/>
      <c r="E97" s="1" t="n"/>
      <c r="F97" s="1" t="n"/>
      <c r="G97" s="20" t="n"/>
      <c r="H97" s="21">
        <f>IF(G97="","",SUMIFS(OH_Qty,OH_Item,G97))</f>
      </c>
      <c r="I97" s="1">
        <f>IF(G97="","",IF(COUNTIFS(OH_Item,G97)=0,"NO EXISTE","OK"))</f>
      </c>
    </row>
    <row r="98">
      <c r="A98" s="1" t="n"/>
      <c r="B98" s="1" t="n"/>
      <c r="C98" s="1" t="n"/>
      <c r="D98" s="1" t="n"/>
      <c r="E98" s="1" t="n"/>
      <c r="F98" s="1" t="n"/>
      <c r="G98" s="20" t="n"/>
      <c r="H98" s="21">
        <f>IF(G98="","",SUMIFS(OH_Qty,OH_Item,G98))</f>
      </c>
      <c r="I98" s="1">
        <f>IF(G98="","",IF(COUNTIFS(OH_Item,G98)=0,"NO EXISTE","OK"))</f>
      </c>
    </row>
    <row r="99">
      <c r="A99" s="1" t="n"/>
      <c r="B99" s="1" t="n"/>
      <c r="C99" s="1" t="n"/>
      <c r="D99" s="1" t="n"/>
      <c r="E99" s="1" t="n"/>
      <c r="F99" s="1" t="n"/>
      <c r="G99" s="20" t="n"/>
      <c r="H99" s="21">
        <f>IF(G99="","",SUMIFS(OH_Qty,OH_Item,G99))</f>
      </c>
      <c r="I99" s="1">
        <f>IF(G99="","",IF(COUNTIFS(OH_Item,G99)=0,"NO EXISTE","OK"))</f>
      </c>
    </row>
    <row r="100">
      <c r="A100" s="1" t="n"/>
      <c r="B100" s="1" t="n"/>
      <c r="C100" s="1" t="n"/>
      <c r="D100" s="1" t="n"/>
      <c r="E100" s="1" t="n"/>
      <c r="F100" s="1" t="n"/>
      <c r="G100" s="20" t="n"/>
      <c r="H100" s="21">
        <f>IF(G100="","",SUMIFS(OH_Qty,OH_Item,G100))</f>
      </c>
      <c r="I100" s="1">
        <f>IF(G100="","",IF(COUNTIFS(OH_Item,G100)=0,"NO EXISTE","OK"))</f>
      </c>
    </row>
    <row r="101">
      <c r="A101" s="1" t="n"/>
      <c r="B101" s="1" t="n"/>
      <c r="C101" s="1" t="n"/>
      <c r="D101" s="1" t="n"/>
      <c r="E101" s="1" t="n"/>
      <c r="F101" s="1" t="n"/>
      <c r="G101" s="20" t="n"/>
      <c r="H101" s="21">
        <f>IF(G101="","",SUMIFS(OH_Qty,OH_Item,G101))</f>
      </c>
      <c r="I101" s="1">
        <f>IF(G101="","",IF(COUNTIFS(OH_Item,G101)=0,"NO EXISTE","OK"))</f>
      </c>
    </row>
    <row r="102">
      <c r="A102" s="1" t="n"/>
      <c r="B102" s="1" t="n"/>
      <c r="C102" s="1" t="n"/>
      <c r="D102" s="1" t="n"/>
      <c r="E102" s="1" t="n"/>
      <c r="F102" s="1" t="n"/>
      <c r="G102" s="20" t="n"/>
      <c r="H102" s="21">
        <f>IF(G102="","",SUMIFS(OH_Qty,OH_Item,G102))</f>
      </c>
      <c r="I102" s="1">
        <f>IF(G102="","",IF(COUNTIFS(OH_Item,G102)=0,"NO EXISTE","OK"))</f>
      </c>
    </row>
    <row r="103">
      <c r="A103" s="1" t="n"/>
      <c r="B103" s="1" t="n"/>
      <c r="C103" s="1" t="n"/>
      <c r="D103" s="1" t="n"/>
      <c r="E103" s="1" t="n"/>
      <c r="F103" s="1" t="n"/>
      <c r="G103" s="20" t="n"/>
      <c r="H103" s="21">
        <f>IF(G103="","",SUMIFS(OH_Qty,OH_Item,G103))</f>
      </c>
      <c r="I103" s="1">
        <f>IF(G103="","",IF(COUNTIFS(OH_Item,G103)=0,"NO EXISTE","OK"))</f>
      </c>
    </row>
    <row r="104">
      <c r="A104" s="1" t="n"/>
      <c r="B104" s="1" t="n"/>
      <c r="C104" s="1" t="n"/>
      <c r="D104" s="1" t="n"/>
      <c r="E104" s="1" t="n"/>
      <c r="F104" s="1" t="n"/>
      <c r="G104" s="20" t="n"/>
      <c r="H104" s="21">
        <f>IF(G104="","",SUMIFS(OH_Qty,OH_Item,G104))</f>
      </c>
      <c r="I104" s="1">
        <f>IF(G104="","",IF(COUNTIFS(OH_Item,G104)=0,"NO EXISTE","OK"))</f>
      </c>
    </row>
    <row r="105">
      <c r="A105" s="1" t="n"/>
      <c r="B105" s="1" t="n"/>
      <c r="C105" s="1" t="n"/>
      <c r="D105" s="1" t="n"/>
      <c r="E105" s="1" t="n"/>
      <c r="F105" s="1" t="n"/>
      <c r="G105" s="20" t="n"/>
      <c r="H105" s="21">
        <f>IF(G105="","",SUMIFS(OH_Qty,OH_Item,G105))</f>
      </c>
      <c r="I105" s="1">
        <f>IF(G105="","",IF(COUNTIFS(OH_Item,G105)=0,"NO EXISTE","OK"))</f>
      </c>
    </row>
    <row r="106">
      <c r="A106" s="1" t="n"/>
      <c r="B106" s="1" t="n"/>
      <c r="C106" s="1" t="n"/>
      <c r="D106" s="1" t="n"/>
      <c r="E106" s="1" t="n"/>
      <c r="F106" s="1" t="n"/>
      <c r="G106" s="20" t="n"/>
      <c r="H106" s="21">
        <f>IF(G106="","",SUMIFS(OH_Qty,OH_Item,G106))</f>
      </c>
      <c r="I106" s="1">
        <f>IF(G106="","",IF(COUNTIFS(OH_Item,G106)=0,"NO EXISTE","OK"))</f>
      </c>
    </row>
    <row r="107">
      <c r="A107" s="1" t="n"/>
      <c r="B107" s="1" t="n"/>
      <c r="C107" s="1" t="n"/>
      <c r="D107" s="1" t="n"/>
      <c r="E107" s="1" t="n"/>
      <c r="F107" s="1" t="n"/>
      <c r="G107" s="20" t="n"/>
      <c r="H107" s="21">
        <f>IF(G107="","",SUMIFS(OH_Qty,OH_Item,G107))</f>
      </c>
      <c r="I107" s="1">
        <f>IF(G107="","",IF(COUNTIFS(OH_Item,G107)=0,"NO EXISTE","OK"))</f>
      </c>
    </row>
    <row r="108">
      <c r="A108" s="1" t="n"/>
      <c r="B108" s="1" t="n"/>
      <c r="C108" s="1" t="n"/>
      <c r="D108" s="1" t="n"/>
      <c r="E108" s="1" t="n"/>
      <c r="F108" s="1" t="n"/>
      <c r="G108" s="20" t="n"/>
      <c r="H108" s="21">
        <f>IF(G108="","",SUMIFS(OH_Qty,OH_Item,G108))</f>
      </c>
      <c r="I108" s="1">
        <f>IF(G108="","",IF(COUNTIFS(OH_Item,G108)=0,"NO EXISTE","OK"))</f>
      </c>
    </row>
    <row r="109">
      <c r="A109" s="1" t="n"/>
      <c r="B109" s="1" t="n"/>
      <c r="C109" s="1" t="n"/>
      <c r="D109" s="1" t="n"/>
      <c r="E109" s="1" t="n"/>
      <c r="F109" s="1" t="n"/>
      <c r="G109" s="20" t="n"/>
      <c r="H109" s="21">
        <f>IF(G109="","",SUMIFS(OH_Qty,OH_Item,G109))</f>
      </c>
      <c r="I109" s="1">
        <f>IF(G109="","",IF(COUNTIFS(OH_Item,G109)=0,"NO EXISTE","OK"))</f>
      </c>
    </row>
    <row r="110">
      <c r="A110" s="1" t="n"/>
      <c r="B110" s="1" t="n"/>
      <c r="C110" s="1" t="n"/>
      <c r="D110" s="1" t="n"/>
      <c r="E110" s="1" t="n"/>
      <c r="F110" s="1" t="n"/>
      <c r="G110" s="20" t="n"/>
      <c r="H110" s="21">
        <f>IF(G110="","",SUMIFS(OH_Qty,OH_Item,G110))</f>
      </c>
      <c r="I110" s="1">
        <f>IF(G110="","",IF(COUNTIFS(OH_Item,G110)=0,"NO EXISTE","OK"))</f>
      </c>
    </row>
    <row r="111">
      <c r="A111" s="1" t="n"/>
      <c r="B111" s="1" t="n"/>
      <c r="C111" s="1" t="n"/>
      <c r="D111" s="1" t="n"/>
      <c r="E111" s="1" t="n"/>
      <c r="F111" s="1" t="n"/>
      <c r="G111" s="20" t="n"/>
      <c r="H111" s="21">
        <f>IF(G111="","",SUMIFS(OH_Qty,OH_Item,G111))</f>
      </c>
      <c r="I111" s="1">
        <f>IF(G111="","",IF(COUNTIFS(OH_Item,G111)=0,"NO EXISTE","OK"))</f>
      </c>
    </row>
    <row r="112">
      <c r="A112" s="1" t="n"/>
      <c r="B112" s="1" t="n"/>
      <c r="C112" s="1" t="n"/>
      <c r="D112" s="1" t="n"/>
      <c r="E112" s="1" t="n"/>
      <c r="F112" s="1" t="n"/>
      <c r="G112" s="20" t="n"/>
      <c r="H112" s="21">
        <f>IF(G112="","",SUMIFS(OH_Qty,OH_Item,G112))</f>
      </c>
      <c r="I112" s="1">
        <f>IF(G112="","",IF(COUNTIFS(OH_Item,G112)=0,"NO EXISTE","OK"))</f>
      </c>
    </row>
    <row r="113">
      <c r="A113" s="1" t="n"/>
      <c r="B113" s="1" t="n"/>
      <c r="C113" s="1" t="n"/>
      <c r="D113" s="1" t="n"/>
      <c r="E113" s="1" t="n"/>
      <c r="F113" s="1" t="n"/>
      <c r="G113" s="20" t="n"/>
      <c r="H113" s="21">
        <f>IF(G113="","",SUMIFS(OH_Qty,OH_Item,G113))</f>
      </c>
      <c r="I113" s="1">
        <f>IF(G113="","",IF(COUNTIFS(OH_Item,G113)=0,"NO EXISTE","OK"))</f>
      </c>
    </row>
    <row r="114">
      <c r="A114" s="1" t="n"/>
      <c r="B114" s="1" t="n"/>
      <c r="C114" s="1" t="n"/>
      <c r="D114" s="1" t="n"/>
      <c r="E114" s="1" t="n"/>
      <c r="F114" s="1" t="n"/>
      <c r="G114" s="20" t="n"/>
      <c r="H114" s="21">
        <f>IF(G114="","",SUMIFS(OH_Qty,OH_Item,G114))</f>
      </c>
      <c r="I114" s="1">
        <f>IF(G114="","",IF(COUNTIFS(OH_Item,G114)=0,"NO EXISTE","OK"))</f>
      </c>
    </row>
    <row r="115">
      <c r="A115" s="1" t="n"/>
      <c r="B115" s="1" t="n"/>
      <c r="C115" s="1" t="n"/>
      <c r="D115" s="1" t="n"/>
      <c r="E115" s="1" t="n"/>
      <c r="F115" s="1" t="n"/>
      <c r="G115" s="20" t="n"/>
      <c r="H115" s="21">
        <f>IF(G115="","",SUMIFS(OH_Qty,OH_Item,G115))</f>
      </c>
      <c r="I115" s="1">
        <f>IF(G115="","",IF(COUNTIFS(OH_Item,G115)=0,"NO EXISTE","OK"))</f>
      </c>
    </row>
    <row r="116">
      <c r="A116" s="1" t="n"/>
      <c r="B116" s="1" t="n"/>
      <c r="C116" s="1" t="n"/>
      <c r="D116" s="1" t="n"/>
      <c r="E116" s="1" t="n"/>
      <c r="F116" s="1" t="n"/>
      <c r="G116" s="20" t="n"/>
      <c r="H116" s="21">
        <f>IF(G116="","",SUMIFS(OH_Qty,OH_Item,G116))</f>
      </c>
      <c r="I116" s="1">
        <f>IF(G116="","",IF(COUNTIFS(OH_Item,G116)=0,"NO EXISTE","OK"))</f>
      </c>
    </row>
    <row r="117">
      <c r="A117" s="1" t="n"/>
      <c r="B117" s="1" t="n"/>
      <c r="C117" s="1" t="n"/>
      <c r="D117" s="1" t="n"/>
      <c r="E117" s="1" t="n"/>
      <c r="F117" s="1" t="n"/>
      <c r="G117" s="20" t="n"/>
      <c r="H117" s="21">
        <f>IF(G117="","",SUMIFS(OH_Qty,OH_Item,G117))</f>
      </c>
      <c r="I117" s="1">
        <f>IF(G117="","",IF(COUNTIFS(OH_Item,G117)=0,"NO EXISTE","OK"))</f>
      </c>
    </row>
    <row r="118">
      <c r="A118" s="1" t="n"/>
      <c r="B118" s="1" t="n"/>
      <c r="C118" s="1" t="n"/>
      <c r="D118" s="1" t="n"/>
      <c r="E118" s="1" t="n"/>
      <c r="F118" s="1" t="n"/>
      <c r="G118" s="20" t="n"/>
      <c r="H118" s="21">
        <f>IF(G118="","",SUMIFS(OH_Qty,OH_Item,G118))</f>
      </c>
      <c r="I118" s="1">
        <f>IF(G118="","",IF(COUNTIFS(OH_Item,G118)=0,"NO EXISTE","OK"))</f>
      </c>
    </row>
    <row r="119">
      <c r="A119" s="1" t="n"/>
      <c r="B119" s="1" t="n"/>
      <c r="C119" s="1" t="n"/>
      <c r="D119" s="1" t="n"/>
      <c r="E119" s="1" t="n"/>
      <c r="F119" s="1" t="n"/>
      <c r="G119" s="20" t="n"/>
      <c r="H119" s="21">
        <f>IF(G119="","",SUMIFS(OH_Qty,OH_Item,G119))</f>
      </c>
      <c r="I119" s="1">
        <f>IF(G119="","",IF(COUNTIFS(OH_Item,G119)=0,"NO EXISTE","OK"))</f>
      </c>
    </row>
    <row r="120">
      <c r="A120" s="1" t="n"/>
      <c r="B120" s="1" t="n"/>
      <c r="C120" s="1" t="n"/>
      <c r="D120" s="1" t="n"/>
      <c r="E120" s="1" t="n"/>
      <c r="F120" s="1" t="n"/>
      <c r="G120" s="20" t="n"/>
      <c r="H120" s="21">
        <f>IF(G120="","",SUMIFS(OH_Qty,OH_Item,G120))</f>
      </c>
      <c r="I120" s="1">
        <f>IF(G120="","",IF(COUNTIFS(OH_Item,G120)=0,"NO EXISTE","OK"))</f>
      </c>
    </row>
    <row r="121">
      <c r="A121" s="1" t="n"/>
      <c r="B121" s="1" t="n"/>
      <c r="C121" s="1" t="n"/>
      <c r="D121" s="1" t="n"/>
      <c r="E121" s="1" t="n"/>
      <c r="F121" s="1" t="n"/>
      <c r="G121" s="20" t="n"/>
      <c r="H121" s="21">
        <f>IF(G121="","",SUMIFS(OH_Qty,OH_Item,G121))</f>
      </c>
      <c r="I121" s="1">
        <f>IF(G121="","",IF(COUNTIFS(OH_Item,G121)=0,"NO EXISTE","OK"))</f>
      </c>
    </row>
    <row r="122">
      <c r="A122" s="1" t="n"/>
      <c r="B122" s="1" t="n"/>
      <c r="C122" s="1" t="n"/>
      <c r="D122" s="1" t="n"/>
      <c r="E122" s="1" t="n"/>
      <c r="F122" s="1" t="n"/>
      <c r="G122" s="20" t="n"/>
      <c r="H122" s="21">
        <f>IF(G122="","",SUMIFS(OH_Qty,OH_Item,G122))</f>
      </c>
      <c r="I122" s="1">
        <f>IF(G122="","",IF(COUNTIFS(OH_Item,G122)=0,"NO EXISTE","OK"))</f>
      </c>
    </row>
    <row r="123">
      <c r="A123" s="1" t="n"/>
      <c r="B123" s="1" t="n"/>
      <c r="C123" s="1" t="n"/>
      <c r="D123" s="1" t="n"/>
      <c r="E123" s="1" t="n"/>
      <c r="F123" s="1" t="n"/>
      <c r="G123" s="20" t="n"/>
      <c r="H123" s="21">
        <f>IF(G123="","",SUMIFS(OH_Qty,OH_Item,G123))</f>
      </c>
      <c r="I123" s="1">
        <f>IF(G123="","",IF(COUNTIFS(OH_Item,G123)=0,"NO EXISTE","OK"))</f>
      </c>
    </row>
    <row r="124">
      <c r="A124" s="1" t="n"/>
      <c r="B124" s="1" t="n"/>
      <c r="C124" s="1" t="n"/>
      <c r="D124" s="1" t="n"/>
      <c r="E124" s="1" t="n"/>
      <c r="F124" s="1" t="n"/>
      <c r="G124" s="20" t="n"/>
      <c r="H124" s="21">
        <f>IF(G124="","",SUMIFS(OH_Qty,OH_Item,G124))</f>
      </c>
      <c r="I124" s="1">
        <f>IF(G124="","",IF(COUNTIFS(OH_Item,G124)=0,"NO EXISTE","OK"))</f>
      </c>
    </row>
    <row r="125">
      <c r="A125" s="1" t="n"/>
      <c r="B125" s="1" t="n"/>
      <c r="C125" s="1" t="n"/>
      <c r="D125" s="1" t="n"/>
      <c r="E125" s="1" t="n"/>
      <c r="F125" s="1" t="n"/>
      <c r="G125" s="20" t="n"/>
      <c r="H125" s="21">
        <f>IF(G125="","",SUMIFS(OH_Qty,OH_Item,G125))</f>
      </c>
      <c r="I125" s="1">
        <f>IF(G125="","",IF(COUNTIFS(OH_Item,G125)=0,"NO EXISTE","OK"))</f>
      </c>
    </row>
    <row r="126">
      <c r="A126" s="1" t="n"/>
      <c r="B126" s="1" t="n"/>
      <c r="C126" s="1" t="n"/>
      <c r="D126" s="1" t="n"/>
      <c r="E126" s="1" t="n"/>
      <c r="F126" s="1" t="n"/>
      <c r="G126" s="20" t="n"/>
      <c r="H126" s="21">
        <f>IF(G126="","",SUMIFS(OH_Qty,OH_Item,G126))</f>
      </c>
      <c r="I126" s="1">
        <f>IF(G126="","",IF(COUNTIFS(OH_Item,G126)=0,"NO EXISTE","OK"))</f>
      </c>
    </row>
    <row r="127">
      <c r="A127" s="1" t="n"/>
      <c r="B127" s="1" t="n"/>
      <c r="C127" s="1" t="n"/>
      <c r="D127" s="1" t="n"/>
      <c r="E127" s="1" t="n"/>
      <c r="F127" s="1" t="n"/>
      <c r="G127" s="20" t="n"/>
      <c r="H127" s="21">
        <f>IF(G127="","",SUMIFS(OH_Qty,OH_Item,G127))</f>
      </c>
      <c r="I127" s="1">
        <f>IF(G127="","",IF(COUNTIFS(OH_Item,G127)=0,"NO EXISTE","OK"))</f>
      </c>
    </row>
    <row r="128">
      <c r="A128" s="1" t="n"/>
      <c r="B128" s="1" t="n"/>
      <c r="C128" s="1" t="n"/>
      <c r="D128" s="1" t="n"/>
      <c r="E128" s="1" t="n"/>
      <c r="F128" s="1" t="n"/>
      <c r="G128" s="20" t="n"/>
      <c r="H128" s="21">
        <f>IF(G128="","",SUMIFS(OH_Qty,OH_Item,G128))</f>
      </c>
      <c r="I128" s="1">
        <f>IF(G128="","",IF(COUNTIFS(OH_Item,G128)=0,"NO EXISTE","OK"))</f>
      </c>
    </row>
    <row r="129">
      <c r="A129" s="1" t="n"/>
      <c r="B129" s="1" t="n"/>
      <c r="C129" s="1" t="n"/>
      <c r="D129" s="1" t="n"/>
      <c r="E129" s="1" t="n"/>
      <c r="F129" s="1" t="n"/>
      <c r="G129" s="20" t="n"/>
      <c r="H129" s="21">
        <f>IF(G129="","",SUMIFS(OH_Qty,OH_Item,G129))</f>
      </c>
      <c r="I129" s="1">
        <f>IF(G129="","",IF(COUNTIFS(OH_Item,G129)=0,"NO EXISTE","OK"))</f>
      </c>
    </row>
    <row r="130">
      <c r="A130" s="1" t="n"/>
      <c r="B130" s="1" t="n"/>
      <c r="C130" s="1" t="n"/>
      <c r="D130" s="1" t="n"/>
      <c r="E130" s="1" t="n"/>
      <c r="F130" s="1" t="n"/>
      <c r="G130" s="20" t="n"/>
      <c r="H130" s="21">
        <f>IF(G130="","",SUMIFS(OH_Qty,OH_Item,G130))</f>
      </c>
      <c r="I130" s="1">
        <f>IF(G130="","",IF(COUNTIFS(OH_Item,G130)=0,"NO EXISTE","OK"))</f>
      </c>
    </row>
    <row r="131">
      <c r="A131" s="1" t="n"/>
      <c r="B131" s="1" t="n"/>
      <c r="C131" s="1" t="n"/>
      <c r="D131" s="1" t="n"/>
      <c r="E131" s="1" t="n"/>
      <c r="F131" s="1" t="n"/>
      <c r="G131" s="20" t="n"/>
      <c r="H131" s="21">
        <f>IF(G131="","",SUMIFS(OH_Qty,OH_Item,G131))</f>
      </c>
      <c r="I131" s="1">
        <f>IF(G131="","",IF(COUNTIFS(OH_Item,G131)=0,"NO EXISTE","OK"))</f>
      </c>
    </row>
    <row r="132">
      <c r="A132" s="1" t="n"/>
      <c r="B132" s="1" t="n"/>
      <c r="C132" s="1" t="n"/>
      <c r="D132" s="1" t="n"/>
      <c r="E132" s="1" t="n"/>
      <c r="F132" s="1" t="n"/>
      <c r="G132" s="20" t="n"/>
      <c r="H132" s="21">
        <f>IF(G132="","",SUMIFS(OH_Qty,OH_Item,G132))</f>
      </c>
      <c r="I132" s="1">
        <f>IF(G132="","",IF(COUNTIFS(OH_Item,G132)=0,"NO EXISTE","OK"))</f>
      </c>
    </row>
    <row r="133">
      <c r="A133" s="1" t="n"/>
      <c r="B133" s="1" t="n"/>
      <c r="C133" s="1" t="n"/>
      <c r="D133" s="1" t="n"/>
      <c r="E133" s="1" t="n"/>
      <c r="F133" s="1" t="n"/>
      <c r="G133" s="20" t="n"/>
      <c r="H133" s="21">
        <f>IF(G133="","",SUMIFS(OH_Qty,OH_Item,G133))</f>
      </c>
      <c r="I133" s="1">
        <f>IF(G133="","",IF(COUNTIFS(OH_Item,G133)=0,"NO EXISTE","OK"))</f>
      </c>
    </row>
    <row r="134">
      <c r="A134" s="1" t="n"/>
      <c r="B134" s="1" t="n"/>
      <c r="C134" s="1" t="n"/>
      <c r="D134" s="1" t="n"/>
      <c r="E134" s="1" t="n"/>
      <c r="F134" s="1" t="n"/>
      <c r="G134" s="20" t="n"/>
      <c r="H134" s="21">
        <f>IF(G134="","",SUMIFS(OH_Qty,OH_Item,G134))</f>
      </c>
      <c r="I134" s="1">
        <f>IF(G134="","",IF(COUNTIFS(OH_Item,G134)=0,"NO EXISTE","OK"))</f>
      </c>
    </row>
    <row r="135">
      <c r="A135" s="1" t="n"/>
      <c r="B135" s="1" t="n"/>
      <c r="C135" s="1" t="n"/>
      <c r="D135" s="1" t="n"/>
      <c r="E135" s="1" t="n"/>
      <c r="F135" s="1" t="n"/>
      <c r="G135" s="20" t="n"/>
      <c r="H135" s="21">
        <f>IF(G135="","",SUMIFS(OH_Qty,OH_Item,G135))</f>
      </c>
      <c r="I135" s="1">
        <f>IF(G135="","",IF(COUNTIFS(OH_Item,G135)=0,"NO EXISTE","OK"))</f>
      </c>
    </row>
    <row r="136">
      <c r="A136" s="1" t="n"/>
      <c r="B136" s="1" t="n"/>
      <c r="C136" s="1" t="n"/>
      <c r="D136" s="1" t="n"/>
      <c r="E136" s="1" t="n"/>
      <c r="F136" s="1" t="n"/>
      <c r="G136" s="20" t="n"/>
      <c r="H136" s="21">
        <f>IF(G136="","",SUMIFS(OH_Qty,OH_Item,G136))</f>
      </c>
      <c r="I136" s="1">
        <f>IF(G136="","",IF(COUNTIFS(OH_Item,G136)=0,"NO EXISTE","OK"))</f>
      </c>
    </row>
    <row r="137">
      <c r="A137" s="1" t="n"/>
      <c r="B137" s="1" t="n"/>
      <c r="C137" s="1" t="n"/>
      <c r="D137" s="1" t="n"/>
      <c r="E137" s="1" t="n"/>
      <c r="F137" s="1" t="n"/>
      <c r="G137" s="20" t="n"/>
      <c r="H137" s="21">
        <f>IF(G137="","",SUMIFS(OH_Qty,OH_Item,G137))</f>
      </c>
      <c r="I137" s="1">
        <f>IF(G137="","",IF(COUNTIFS(OH_Item,G137)=0,"NO EXISTE","OK"))</f>
      </c>
    </row>
    <row r="138">
      <c r="A138" s="1" t="n"/>
      <c r="B138" s="1" t="n"/>
      <c r="C138" s="1" t="n"/>
      <c r="D138" s="1" t="n"/>
      <c r="E138" s="1" t="n"/>
      <c r="F138" s="1" t="n"/>
      <c r="G138" s="20" t="n"/>
      <c r="H138" s="21">
        <f>IF(G138="","",SUMIFS(OH_Qty,OH_Item,G138))</f>
      </c>
      <c r="I138" s="1">
        <f>IF(G138="","",IF(COUNTIFS(OH_Item,G138)=0,"NO EXISTE","OK"))</f>
      </c>
    </row>
    <row r="139">
      <c r="A139" s="1" t="n"/>
      <c r="B139" s="1" t="n"/>
      <c r="C139" s="1" t="n"/>
      <c r="D139" s="1" t="n"/>
      <c r="E139" s="1" t="n"/>
      <c r="F139" s="1" t="n"/>
      <c r="G139" s="20" t="n"/>
      <c r="H139" s="21">
        <f>IF(G139="","",SUMIFS(OH_Qty,OH_Item,G139))</f>
      </c>
      <c r="I139" s="1">
        <f>IF(G139="","",IF(COUNTIFS(OH_Item,G139)=0,"NO EXISTE","OK"))</f>
      </c>
    </row>
    <row r="140">
      <c r="A140" s="1" t="n"/>
      <c r="B140" s="1" t="n"/>
      <c r="C140" s="1" t="n"/>
      <c r="D140" s="1" t="n"/>
      <c r="E140" s="1" t="n"/>
      <c r="F140" s="1" t="n"/>
      <c r="G140" s="20" t="n"/>
      <c r="H140" s="21">
        <f>IF(G140="","",SUMIFS(OH_Qty,OH_Item,G140))</f>
      </c>
      <c r="I140" s="1">
        <f>IF(G140="","",IF(COUNTIFS(OH_Item,G140)=0,"NO EXISTE","OK"))</f>
      </c>
    </row>
    <row r="141">
      <c r="A141" s="1" t="n"/>
      <c r="B141" s="1" t="n"/>
      <c r="C141" s="1" t="n"/>
      <c r="D141" s="1" t="n"/>
      <c r="E141" s="1" t="n"/>
      <c r="F141" s="1" t="n"/>
      <c r="G141" s="20" t="n"/>
      <c r="H141" s="21">
        <f>IF(G141="","",SUMIFS(OH_Qty,OH_Item,G141))</f>
      </c>
      <c r="I141" s="1">
        <f>IF(G141="","",IF(COUNTIFS(OH_Item,G141)=0,"NO EXISTE","OK"))</f>
      </c>
    </row>
    <row r="142">
      <c r="A142" s="1" t="n"/>
      <c r="B142" s="1" t="n"/>
      <c r="C142" s="1" t="n"/>
      <c r="D142" s="1" t="n"/>
      <c r="E142" s="1" t="n"/>
      <c r="F142" s="1" t="n"/>
      <c r="G142" s="20" t="n"/>
      <c r="H142" s="21">
        <f>IF(G142="","",SUMIFS(OH_Qty,OH_Item,G142))</f>
      </c>
      <c r="I142" s="1">
        <f>IF(G142="","",IF(COUNTIFS(OH_Item,G142)=0,"NO EXISTE","OK"))</f>
      </c>
    </row>
    <row r="143">
      <c r="A143" s="1" t="n"/>
      <c r="B143" s="1" t="n"/>
      <c r="C143" s="1" t="n"/>
      <c r="D143" s="1" t="n"/>
      <c r="E143" s="1" t="n"/>
      <c r="F143" s="1" t="n"/>
      <c r="G143" s="20" t="n"/>
      <c r="H143" s="21">
        <f>IF(G143="","",SUMIFS(OH_Qty,OH_Item,G143))</f>
      </c>
      <c r="I143" s="1">
        <f>IF(G143="","",IF(COUNTIFS(OH_Item,G143)=0,"NO EXISTE","OK"))</f>
      </c>
    </row>
    <row r="144">
      <c r="A144" s="1" t="n"/>
      <c r="B144" s="1" t="n"/>
      <c r="C144" s="1" t="n"/>
      <c r="D144" s="1" t="n"/>
      <c r="E144" s="1" t="n"/>
      <c r="F144" s="1" t="n"/>
      <c r="G144" s="20" t="n"/>
      <c r="H144" s="21">
        <f>IF(G144="","",SUMIFS(OH_Qty,OH_Item,G144))</f>
      </c>
      <c r="I144" s="1">
        <f>IF(G144="","",IF(COUNTIFS(OH_Item,G144)=0,"NO EXISTE","OK"))</f>
      </c>
    </row>
    <row r="145">
      <c r="A145" s="1" t="n"/>
      <c r="B145" s="1" t="n"/>
      <c r="C145" s="1" t="n"/>
      <c r="D145" s="1" t="n"/>
      <c r="E145" s="1" t="n"/>
      <c r="F145" s="1" t="n"/>
      <c r="G145" s="20" t="n"/>
      <c r="H145" s="21">
        <f>IF(G145="","",SUMIFS(OH_Qty,OH_Item,G145))</f>
      </c>
      <c r="I145" s="1">
        <f>IF(G145="","",IF(COUNTIFS(OH_Item,G145)=0,"NO EXISTE","OK"))</f>
      </c>
    </row>
    <row r="146">
      <c r="A146" s="1" t="n"/>
      <c r="B146" s="1" t="n"/>
      <c r="C146" s="1" t="n"/>
      <c r="D146" s="1" t="n"/>
      <c r="E146" s="1" t="n"/>
      <c r="F146" s="1" t="n"/>
      <c r="G146" s="20" t="n"/>
      <c r="H146" s="21">
        <f>IF(G146="","",SUMIFS(OH_Qty,OH_Item,G146))</f>
      </c>
      <c r="I146" s="1">
        <f>IF(G146="","",IF(COUNTIFS(OH_Item,G146)=0,"NO EXISTE","OK"))</f>
      </c>
    </row>
    <row r="147">
      <c r="A147" s="1" t="n"/>
      <c r="B147" s="1" t="n"/>
      <c r="C147" s="1" t="n"/>
      <c r="D147" s="1" t="n"/>
      <c r="E147" s="1" t="n"/>
      <c r="F147" s="1" t="n"/>
      <c r="G147" s="20" t="n"/>
      <c r="H147" s="21">
        <f>IF(G147="","",SUMIFS(OH_Qty,OH_Item,G147))</f>
      </c>
      <c r="I147" s="1">
        <f>IF(G147="","",IF(COUNTIFS(OH_Item,G147)=0,"NO EXISTE","OK"))</f>
      </c>
    </row>
    <row r="148">
      <c r="A148" s="1" t="n"/>
      <c r="B148" s="1" t="n"/>
      <c r="C148" s="1" t="n"/>
      <c r="D148" s="1" t="n"/>
      <c r="E148" s="1" t="n"/>
      <c r="F148" s="1" t="n"/>
      <c r="G148" s="20" t="n"/>
      <c r="H148" s="21">
        <f>IF(G148="","",SUMIFS(OH_Qty,OH_Item,G148))</f>
      </c>
      <c r="I148" s="1">
        <f>IF(G148="","",IF(COUNTIFS(OH_Item,G148)=0,"NO EXISTE","OK"))</f>
      </c>
    </row>
    <row r="149">
      <c r="A149" s="1" t="n"/>
      <c r="B149" s="1" t="n"/>
      <c r="C149" s="1" t="n"/>
      <c r="D149" s="1" t="n"/>
      <c r="E149" s="1" t="n"/>
      <c r="F149" s="1" t="n"/>
      <c r="G149" s="20" t="n"/>
      <c r="H149" s="21">
        <f>IF(G149="","",SUMIFS(OH_Qty,OH_Item,G149))</f>
      </c>
      <c r="I149" s="1">
        <f>IF(G149="","",IF(COUNTIFS(OH_Item,G149)=0,"NO EXISTE","OK"))</f>
      </c>
    </row>
    <row r="150">
      <c r="A150" s="1" t="n"/>
      <c r="B150" s="1" t="n"/>
      <c r="C150" s="1" t="n"/>
      <c r="D150" s="1" t="n"/>
      <c r="E150" s="1" t="n"/>
      <c r="F150" s="1" t="n"/>
      <c r="G150" s="20" t="n"/>
      <c r="H150" s="21">
        <f>IF(G150="","",SUMIFS(OH_Qty,OH_Item,G150))</f>
      </c>
      <c r="I150" s="1">
        <f>IF(G150="","",IF(COUNTIFS(OH_Item,G150)=0,"NO EXISTE","OK"))</f>
      </c>
    </row>
    <row r="151">
      <c r="A151" s="1" t="n"/>
      <c r="B151" s="1" t="n"/>
      <c r="C151" s="1" t="n"/>
      <c r="D151" s="1" t="n"/>
      <c r="E151" s="1" t="n"/>
      <c r="F151" s="1" t="n"/>
      <c r="G151" s="20" t="n"/>
      <c r="H151" s="21">
        <f>IF(G151="","",SUMIFS(OH_Qty,OH_Item,G151))</f>
      </c>
      <c r="I151" s="1">
        <f>IF(G151="","",IF(COUNTIFS(OH_Item,G151)=0,"NO EXISTE","OK"))</f>
      </c>
    </row>
    <row r="152">
      <c r="A152" s="1" t="n"/>
      <c r="B152" s="1" t="n"/>
      <c r="C152" s="1" t="n"/>
      <c r="D152" s="1" t="n"/>
      <c r="E152" s="1" t="n"/>
      <c r="F152" s="1" t="n"/>
      <c r="G152" s="20" t="n"/>
      <c r="H152" s="21">
        <f>IF(G152="","",SUMIFS(OH_Qty,OH_Item,G152))</f>
      </c>
      <c r="I152" s="1">
        <f>IF(G152="","",IF(COUNTIFS(OH_Item,G152)=0,"NO EXISTE","OK"))</f>
      </c>
    </row>
    <row r="153">
      <c r="A153" s="1" t="n"/>
      <c r="B153" s="1" t="n"/>
      <c r="C153" s="1" t="n"/>
      <c r="D153" s="1" t="n"/>
      <c r="E153" s="1" t="n"/>
      <c r="F153" s="1" t="n"/>
      <c r="G153" s="20" t="n"/>
      <c r="H153" s="21">
        <f>IF(G153="","",SUMIFS(OH_Qty,OH_Item,G153))</f>
      </c>
      <c r="I153" s="1">
        <f>IF(G153="","",IF(COUNTIFS(OH_Item,G153)=0,"NO EXISTE","OK"))</f>
      </c>
    </row>
    <row r="154">
      <c r="A154" s="1" t="n"/>
      <c r="B154" s="1" t="n"/>
      <c r="C154" s="1" t="n"/>
      <c r="D154" s="1" t="n"/>
      <c r="E154" s="1" t="n"/>
      <c r="F154" s="1" t="n"/>
      <c r="G154" s="20" t="n"/>
      <c r="H154" s="21">
        <f>IF(G154="","",SUMIFS(OH_Qty,OH_Item,G154))</f>
      </c>
      <c r="I154" s="1">
        <f>IF(G154="","",IF(COUNTIFS(OH_Item,G154)=0,"NO EXISTE","OK"))</f>
      </c>
    </row>
    <row r="155">
      <c r="A155" s="1" t="n"/>
      <c r="B155" s="1" t="n"/>
      <c r="C155" s="1" t="n"/>
      <c r="D155" s="1" t="n"/>
      <c r="E155" s="1" t="n"/>
      <c r="F155" s="1" t="n"/>
      <c r="G155" s="20" t="n"/>
      <c r="H155" s="21">
        <f>IF(G155="","",SUMIFS(OH_Qty,OH_Item,G155))</f>
      </c>
      <c r="I155" s="1">
        <f>IF(G155="","",IF(COUNTIFS(OH_Item,G155)=0,"NO EXISTE","OK"))</f>
      </c>
    </row>
    <row r="156">
      <c r="A156" s="1" t="n"/>
      <c r="B156" s="1" t="n"/>
      <c r="C156" s="1" t="n"/>
      <c r="D156" s="1" t="n"/>
      <c r="E156" s="1" t="n"/>
      <c r="F156" s="1" t="n"/>
      <c r="G156" s="20" t="n"/>
      <c r="H156" s="21">
        <f>IF(G156="","",SUMIFS(OH_Qty,OH_Item,G156))</f>
      </c>
      <c r="I156" s="1">
        <f>IF(G156="","",IF(COUNTIFS(OH_Item,G156)=0,"NO EXISTE","OK"))</f>
      </c>
    </row>
    <row r="157">
      <c r="A157" s="1" t="n"/>
      <c r="B157" s="1" t="n"/>
      <c r="C157" s="1" t="n"/>
      <c r="D157" s="1" t="n"/>
      <c r="E157" s="1" t="n"/>
      <c r="F157" s="1" t="n"/>
      <c r="G157" s="20" t="n"/>
      <c r="H157" s="21">
        <f>IF(G157="","",SUMIFS(OH_Qty,OH_Item,G157))</f>
      </c>
      <c r="I157" s="1">
        <f>IF(G157="","",IF(COUNTIFS(OH_Item,G157)=0,"NO EXISTE","OK"))</f>
      </c>
    </row>
    <row r="158">
      <c r="A158" s="1" t="n"/>
      <c r="B158" s="1" t="n"/>
      <c r="C158" s="1" t="n"/>
      <c r="D158" s="1" t="n"/>
      <c r="E158" s="1" t="n"/>
      <c r="F158" s="1" t="n"/>
      <c r="G158" s="20" t="n"/>
      <c r="H158" s="21">
        <f>IF(G158="","",SUMIFS(OH_Qty,OH_Item,G158))</f>
      </c>
      <c r="I158" s="1">
        <f>IF(G158="","",IF(COUNTIFS(OH_Item,G158)=0,"NO EXISTE","OK"))</f>
      </c>
    </row>
    <row r="159">
      <c r="A159" s="1" t="n"/>
      <c r="B159" s="1" t="n"/>
      <c r="C159" s="1" t="n"/>
      <c r="D159" s="1" t="n"/>
      <c r="E159" s="1" t="n"/>
      <c r="F159" s="1" t="n"/>
      <c r="G159" s="20" t="n"/>
      <c r="H159" s="21">
        <f>IF(G159="","",SUMIFS(OH_Qty,OH_Item,G159))</f>
      </c>
      <c r="I159" s="1">
        <f>IF(G159="","",IF(COUNTIFS(OH_Item,G159)=0,"NO EXISTE","OK"))</f>
      </c>
    </row>
    <row r="160">
      <c r="A160" s="1" t="n"/>
      <c r="B160" s="1" t="n"/>
      <c r="C160" s="1" t="n"/>
      <c r="D160" s="1" t="n"/>
      <c r="E160" s="1" t="n"/>
      <c r="F160" s="1" t="n"/>
      <c r="G160" s="20" t="n"/>
      <c r="H160" s="21">
        <f>IF(G160="","",SUMIFS(OH_Qty,OH_Item,G160))</f>
      </c>
      <c r="I160" s="1">
        <f>IF(G160="","",IF(COUNTIFS(OH_Item,G160)=0,"NO EXISTE","OK"))</f>
      </c>
    </row>
    <row r="161">
      <c r="A161" s="1" t="n"/>
      <c r="B161" s="1" t="n"/>
      <c r="C161" s="1" t="n"/>
      <c r="D161" s="1" t="n"/>
      <c r="E161" s="1" t="n"/>
      <c r="F161" s="1" t="n"/>
      <c r="G161" s="20" t="n"/>
      <c r="H161" s="21">
        <f>IF(G161="","",SUMIFS(OH_Qty,OH_Item,G161))</f>
      </c>
      <c r="I161" s="1">
        <f>IF(G161="","",IF(COUNTIFS(OH_Item,G161)=0,"NO EXISTE","OK"))</f>
      </c>
    </row>
    <row r="162">
      <c r="A162" s="1" t="n"/>
      <c r="B162" s="1" t="n"/>
      <c r="C162" s="1" t="n"/>
      <c r="D162" s="1" t="n"/>
      <c r="E162" s="1" t="n"/>
      <c r="F162" s="1" t="n"/>
      <c r="G162" s="20" t="n"/>
      <c r="H162" s="21">
        <f>IF(G162="","",SUMIFS(OH_Qty,OH_Item,G162))</f>
      </c>
      <c r="I162" s="1">
        <f>IF(G162="","",IF(COUNTIFS(OH_Item,G162)=0,"NO EXISTE","OK"))</f>
      </c>
    </row>
    <row r="163">
      <c r="A163" s="1" t="n"/>
      <c r="B163" s="1" t="n"/>
      <c r="C163" s="1" t="n"/>
      <c r="D163" s="1" t="n"/>
      <c r="E163" s="1" t="n"/>
      <c r="F163" s="1" t="n"/>
      <c r="G163" s="20" t="n"/>
      <c r="H163" s="21">
        <f>IF(G163="","",SUMIFS(OH_Qty,OH_Item,G163))</f>
      </c>
      <c r="I163" s="1">
        <f>IF(G163="","",IF(COUNTIFS(OH_Item,G163)=0,"NO EXISTE","OK"))</f>
      </c>
    </row>
    <row r="164">
      <c r="A164" s="1" t="n"/>
      <c r="B164" s="1" t="n"/>
      <c r="C164" s="1" t="n"/>
      <c r="D164" s="1" t="n"/>
      <c r="E164" s="1" t="n"/>
      <c r="F164" s="1" t="n"/>
      <c r="G164" s="20" t="n"/>
      <c r="H164" s="21">
        <f>IF(G164="","",SUMIFS(OH_Qty,OH_Item,G164))</f>
      </c>
      <c r="I164" s="1">
        <f>IF(G164="","",IF(COUNTIFS(OH_Item,G164)=0,"NO EXISTE","OK"))</f>
      </c>
    </row>
    <row r="165">
      <c r="A165" s="1" t="n"/>
      <c r="B165" s="1" t="n"/>
      <c r="C165" s="1" t="n"/>
      <c r="D165" s="1" t="n"/>
      <c r="E165" s="1" t="n"/>
      <c r="F165" s="1" t="n"/>
      <c r="G165" s="20" t="n"/>
      <c r="H165" s="21">
        <f>IF(G165="","",SUMIFS(OH_Qty,OH_Item,G165))</f>
      </c>
      <c r="I165" s="1">
        <f>IF(G165="","",IF(COUNTIFS(OH_Item,G165)=0,"NO EXISTE","OK"))</f>
      </c>
    </row>
    <row r="166">
      <c r="A166" s="1" t="n"/>
      <c r="B166" s="1" t="n"/>
      <c r="C166" s="1" t="n"/>
      <c r="D166" s="1" t="n"/>
      <c r="E166" s="1" t="n"/>
      <c r="F166" s="1" t="n"/>
      <c r="G166" s="20" t="n"/>
      <c r="H166" s="21">
        <f>IF(G166="","",SUMIFS(OH_Qty,OH_Item,G166))</f>
      </c>
      <c r="I166" s="1">
        <f>IF(G166="","",IF(COUNTIFS(OH_Item,G166)=0,"NO EXISTE","OK"))</f>
      </c>
    </row>
    <row r="167">
      <c r="A167" s="1" t="n"/>
      <c r="B167" s="1" t="n"/>
      <c r="C167" s="1" t="n"/>
      <c r="D167" s="1" t="n"/>
      <c r="E167" s="1" t="n"/>
      <c r="F167" s="1" t="n"/>
      <c r="G167" s="20" t="n"/>
      <c r="H167" s="21">
        <f>IF(G167="","",SUMIFS(OH_Qty,OH_Item,G167))</f>
      </c>
      <c r="I167" s="1">
        <f>IF(G167="","",IF(COUNTIFS(OH_Item,G167)=0,"NO EXISTE","OK"))</f>
      </c>
    </row>
    <row r="168">
      <c r="A168" s="1" t="n"/>
      <c r="B168" s="1" t="n"/>
      <c r="C168" s="1" t="n"/>
      <c r="D168" s="1" t="n"/>
      <c r="E168" s="1" t="n"/>
      <c r="F168" s="1" t="n"/>
      <c r="G168" s="20" t="n"/>
      <c r="H168" s="21">
        <f>IF(G168="","",SUMIFS(OH_Qty,OH_Item,G168))</f>
      </c>
      <c r="I168" s="1">
        <f>IF(G168="","",IF(COUNTIFS(OH_Item,G168)=0,"NO EXISTE","OK"))</f>
      </c>
    </row>
    <row r="169">
      <c r="A169" s="1" t="n"/>
      <c r="B169" s="1" t="n"/>
      <c r="C169" s="1" t="n"/>
      <c r="D169" s="1" t="n"/>
      <c r="E169" s="1" t="n"/>
      <c r="F169" s="1" t="n"/>
      <c r="G169" s="20" t="n"/>
      <c r="H169" s="21">
        <f>IF(G169="","",SUMIFS(OH_Qty,OH_Item,G169))</f>
      </c>
      <c r="I169" s="1">
        <f>IF(G169="","",IF(COUNTIFS(OH_Item,G169)=0,"NO EXISTE","OK"))</f>
      </c>
    </row>
    <row r="170">
      <c r="A170" s="1" t="n"/>
      <c r="B170" s="1" t="n"/>
      <c r="C170" s="1" t="n"/>
      <c r="D170" s="1" t="n"/>
      <c r="E170" s="1" t="n"/>
      <c r="F170" s="1" t="n"/>
      <c r="G170" s="20" t="n"/>
      <c r="H170" s="21">
        <f>IF(G170="","",SUMIFS(OH_Qty,OH_Item,G170))</f>
      </c>
      <c r="I170" s="1">
        <f>IF(G170="","",IF(COUNTIFS(OH_Item,G170)=0,"NO EXISTE","OK"))</f>
      </c>
    </row>
    <row r="171">
      <c r="A171" s="1" t="n"/>
      <c r="B171" s="1" t="n"/>
      <c r="C171" s="1" t="n"/>
      <c r="D171" s="1" t="n"/>
      <c r="E171" s="1" t="n"/>
      <c r="F171" s="1" t="n"/>
      <c r="G171" s="20" t="n"/>
      <c r="H171" s="21">
        <f>IF(G171="","",SUMIFS(OH_Qty,OH_Item,G171))</f>
      </c>
      <c r="I171" s="1">
        <f>IF(G171="","",IF(COUNTIFS(OH_Item,G171)=0,"NO EXISTE","OK"))</f>
      </c>
    </row>
    <row r="172">
      <c r="A172" s="1" t="n"/>
      <c r="B172" s="1" t="n"/>
      <c r="C172" s="1" t="n"/>
      <c r="D172" s="1" t="n"/>
      <c r="E172" s="1" t="n"/>
      <c r="F172" s="1" t="n"/>
      <c r="G172" s="20" t="n"/>
      <c r="H172" s="21">
        <f>IF(G172="","",SUMIFS(OH_Qty,OH_Item,G172))</f>
      </c>
      <c r="I172" s="1">
        <f>IF(G172="","",IF(COUNTIFS(OH_Item,G172)=0,"NO EXISTE","OK"))</f>
      </c>
    </row>
    <row r="173">
      <c r="A173" s="1" t="n"/>
      <c r="B173" s="1" t="n"/>
      <c r="C173" s="1" t="n"/>
      <c r="D173" s="1" t="n"/>
      <c r="E173" s="1" t="n"/>
      <c r="F173" s="1" t="n"/>
      <c r="G173" s="20" t="n"/>
      <c r="H173" s="21">
        <f>IF(G173="","",SUMIFS(OH_Qty,OH_Item,G173))</f>
      </c>
      <c r="I173" s="1">
        <f>IF(G173="","",IF(COUNTIFS(OH_Item,G173)=0,"NO EXISTE","OK"))</f>
      </c>
    </row>
    <row r="174">
      <c r="A174" s="1" t="n"/>
      <c r="B174" s="1" t="n"/>
      <c r="C174" s="1" t="n"/>
      <c r="D174" s="1" t="n"/>
      <c r="E174" s="1" t="n"/>
      <c r="F174" s="1" t="n"/>
      <c r="G174" s="20" t="n"/>
      <c r="H174" s="21">
        <f>IF(G174="","",SUMIFS(OH_Qty,OH_Item,G174))</f>
      </c>
      <c r="I174" s="1">
        <f>IF(G174="","",IF(COUNTIFS(OH_Item,G174)=0,"NO EXISTE","OK"))</f>
      </c>
    </row>
    <row r="175">
      <c r="A175" s="1" t="n"/>
      <c r="B175" s="1" t="n"/>
      <c r="C175" s="1" t="n"/>
      <c r="D175" s="1" t="n"/>
      <c r="E175" s="1" t="n"/>
      <c r="F175" s="1" t="n"/>
      <c r="G175" s="20" t="n"/>
      <c r="H175" s="21">
        <f>IF(G175="","",SUMIFS(OH_Qty,OH_Item,G175))</f>
      </c>
      <c r="I175" s="1">
        <f>IF(G175="","",IF(COUNTIFS(OH_Item,G175)=0,"NO EXISTE","OK"))</f>
      </c>
    </row>
    <row r="176">
      <c r="A176" s="1" t="n"/>
      <c r="B176" s="1" t="n"/>
      <c r="C176" s="1" t="n"/>
      <c r="D176" s="1" t="n"/>
      <c r="E176" s="1" t="n"/>
      <c r="F176" s="1" t="n"/>
      <c r="G176" s="20" t="n"/>
      <c r="H176" s="21">
        <f>IF(G176="","",SUMIFS(OH_Qty,OH_Item,G176))</f>
      </c>
      <c r="I176" s="1">
        <f>IF(G176="","",IF(COUNTIFS(OH_Item,G176)=0,"NO EXISTE","OK"))</f>
      </c>
    </row>
    <row r="177">
      <c r="A177" s="1" t="n"/>
      <c r="B177" s="1" t="n"/>
      <c r="C177" s="1" t="n"/>
      <c r="D177" s="1" t="n"/>
      <c r="E177" s="1" t="n"/>
      <c r="F177" s="1" t="n"/>
      <c r="G177" s="20" t="n"/>
      <c r="H177" s="21">
        <f>IF(G177="","",SUMIFS(OH_Qty,OH_Item,G177))</f>
      </c>
      <c r="I177" s="1">
        <f>IF(G177="","",IF(COUNTIFS(OH_Item,G177)=0,"NO EXISTE","OK"))</f>
      </c>
    </row>
    <row r="178">
      <c r="A178" s="1" t="n"/>
      <c r="B178" s="1" t="n"/>
      <c r="C178" s="1" t="n"/>
      <c r="D178" s="1" t="n"/>
      <c r="E178" s="1" t="n"/>
      <c r="F178" s="1" t="n"/>
      <c r="G178" s="20" t="n"/>
      <c r="H178" s="21">
        <f>IF(G178="","",SUMIFS(OH_Qty,OH_Item,G178))</f>
      </c>
      <c r="I178" s="1">
        <f>IF(G178="","",IF(COUNTIFS(OH_Item,G178)=0,"NO EXISTE","OK"))</f>
      </c>
    </row>
    <row r="179">
      <c r="A179" s="1" t="n"/>
      <c r="B179" s="1" t="n"/>
      <c r="C179" s="1" t="n"/>
      <c r="D179" s="1" t="n"/>
      <c r="E179" s="1" t="n"/>
      <c r="F179" s="1" t="n"/>
      <c r="G179" s="20" t="n"/>
      <c r="H179" s="21">
        <f>IF(G179="","",SUMIFS(OH_Qty,OH_Item,G179))</f>
      </c>
      <c r="I179" s="1">
        <f>IF(G179="","",IF(COUNTIFS(OH_Item,G179)=0,"NO EXISTE","OK"))</f>
      </c>
    </row>
    <row r="180">
      <c r="A180" s="1" t="n"/>
      <c r="B180" s="1" t="n"/>
      <c r="C180" s="1" t="n"/>
      <c r="D180" s="1" t="n"/>
      <c r="E180" s="1" t="n"/>
      <c r="F180" s="1" t="n"/>
      <c r="G180" s="20" t="n"/>
      <c r="H180" s="21">
        <f>IF(G180="","",SUMIFS(OH_Qty,OH_Item,G180))</f>
      </c>
      <c r="I180" s="1">
        <f>IF(G180="","",IF(COUNTIFS(OH_Item,G180)=0,"NO EXISTE","OK"))</f>
      </c>
    </row>
    <row r="181">
      <c r="A181" s="1" t="n"/>
      <c r="B181" s="1" t="n"/>
      <c r="C181" s="1" t="n"/>
      <c r="D181" s="1" t="n"/>
      <c r="E181" s="1" t="n"/>
      <c r="F181" s="1" t="n"/>
      <c r="G181" s="20" t="n"/>
      <c r="H181" s="21">
        <f>IF(G181="","",SUMIFS(OH_Qty,OH_Item,G181))</f>
      </c>
      <c r="I181" s="1">
        <f>IF(G181="","",IF(COUNTIFS(OH_Item,G181)=0,"NO EXISTE","OK"))</f>
      </c>
    </row>
    <row r="182">
      <c r="A182" s="1" t="n"/>
      <c r="B182" s="1" t="n"/>
      <c r="C182" s="1" t="n"/>
      <c r="D182" s="1" t="n"/>
      <c r="E182" s="1" t="n"/>
      <c r="F182" s="1" t="n"/>
      <c r="G182" s="20" t="n"/>
      <c r="H182" s="21">
        <f>IF(G182="","",SUMIFS(OH_Qty,OH_Item,G182))</f>
      </c>
      <c r="I182" s="1">
        <f>IF(G182="","",IF(COUNTIFS(OH_Item,G182)=0,"NO EXISTE","OK"))</f>
      </c>
    </row>
    <row r="183">
      <c r="A183" s="1" t="n"/>
      <c r="B183" s="1" t="n"/>
      <c r="C183" s="1" t="n"/>
      <c r="D183" s="1" t="n"/>
      <c r="E183" s="1" t="n"/>
      <c r="F183" s="1" t="n"/>
      <c r="G183" s="20" t="n"/>
      <c r="H183" s="21">
        <f>IF(G183="","",SUMIFS(OH_Qty,OH_Item,G183))</f>
      </c>
      <c r="I183" s="1">
        <f>IF(G183="","",IF(COUNTIFS(OH_Item,G183)=0,"NO EXISTE","OK"))</f>
      </c>
    </row>
    <row r="184">
      <c r="A184" s="1" t="n"/>
      <c r="B184" s="1" t="n"/>
      <c r="C184" s="1" t="n"/>
      <c r="D184" s="1" t="n"/>
      <c r="E184" s="1" t="n"/>
      <c r="F184" s="1" t="n"/>
      <c r="G184" s="20" t="n"/>
      <c r="H184" s="21">
        <f>IF(G184="","",SUMIFS(OH_Qty,OH_Item,G184))</f>
      </c>
      <c r="I184" s="1">
        <f>IF(G184="","",IF(COUNTIFS(OH_Item,G184)=0,"NO EXISTE","OK"))</f>
      </c>
    </row>
    <row r="185">
      <c r="A185" s="1" t="n"/>
      <c r="B185" s="1" t="n"/>
      <c r="C185" s="1" t="n"/>
      <c r="D185" s="1" t="n"/>
      <c r="E185" s="1" t="n"/>
      <c r="F185" s="1" t="n"/>
      <c r="G185" s="20" t="n"/>
      <c r="H185" s="21">
        <f>IF(G185="","",SUMIFS(OH_Qty,OH_Item,G185))</f>
      </c>
      <c r="I185" s="1">
        <f>IF(G185="","",IF(COUNTIFS(OH_Item,G185)=0,"NO EXISTE","OK"))</f>
      </c>
    </row>
    <row r="186">
      <c r="A186" s="1" t="n"/>
      <c r="B186" s="1" t="n"/>
      <c r="C186" s="1" t="n"/>
      <c r="D186" s="1" t="n"/>
      <c r="E186" s="1" t="n"/>
      <c r="F186" s="1" t="n"/>
      <c r="G186" s="20" t="n"/>
      <c r="H186" s="21">
        <f>IF(G186="","",SUMIFS(OH_Qty,OH_Item,G186))</f>
      </c>
      <c r="I186" s="1">
        <f>IF(G186="","",IF(COUNTIFS(OH_Item,G186)=0,"NO EXISTE","OK"))</f>
      </c>
    </row>
    <row r="187">
      <c r="A187" s="1" t="n"/>
      <c r="B187" s="1" t="n"/>
      <c r="C187" s="1" t="n"/>
      <c r="D187" s="1" t="n"/>
      <c r="E187" s="1" t="n"/>
      <c r="F187" s="1" t="n"/>
      <c r="G187" s="20" t="n"/>
      <c r="H187" s="21">
        <f>IF(G187="","",SUMIFS(OH_Qty,OH_Item,G187))</f>
      </c>
      <c r="I187" s="1">
        <f>IF(G187="","",IF(COUNTIFS(OH_Item,G187)=0,"NO EXISTE","OK"))</f>
      </c>
    </row>
    <row r="188">
      <c r="A188" s="1" t="n"/>
      <c r="B188" s="1" t="n"/>
      <c r="C188" s="1" t="n"/>
      <c r="D188" s="1" t="n"/>
      <c r="E188" s="1" t="n"/>
      <c r="F188" s="1" t="n"/>
      <c r="G188" s="20" t="n"/>
      <c r="H188" s="21">
        <f>IF(G188="","",SUMIFS(OH_Qty,OH_Item,G188))</f>
      </c>
      <c r="I188" s="1">
        <f>IF(G188="","",IF(COUNTIFS(OH_Item,G188)=0,"NO EXISTE","OK"))</f>
      </c>
    </row>
    <row r="189">
      <c r="A189" s="1" t="n"/>
      <c r="B189" s="1" t="n"/>
      <c r="C189" s="1" t="n"/>
      <c r="D189" s="1" t="n"/>
      <c r="E189" s="1" t="n"/>
      <c r="F189" s="1" t="n"/>
      <c r="G189" s="20" t="n"/>
      <c r="H189" s="21">
        <f>IF(G189="","",SUMIFS(OH_Qty,OH_Item,G189))</f>
      </c>
      <c r="I189" s="1">
        <f>IF(G189="","",IF(COUNTIFS(OH_Item,G189)=0,"NO EXISTE","OK"))</f>
      </c>
    </row>
    <row r="190">
      <c r="A190" s="1" t="n"/>
      <c r="B190" s="1" t="n"/>
      <c r="C190" s="1" t="n"/>
      <c r="D190" s="1" t="n"/>
      <c r="E190" s="1" t="n"/>
      <c r="F190" s="1" t="n"/>
      <c r="G190" s="20" t="n"/>
      <c r="H190" s="21">
        <f>IF(G190="","",SUMIFS(OH_Qty,OH_Item,G190))</f>
      </c>
      <c r="I190" s="1">
        <f>IF(G190="","",IF(COUNTIFS(OH_Item,G190)=0,"NO EXISTE","OK"))</f>
      </c>
    </row>
    <row r="191">
      <c r="A191" s="1" t="n"/>
      <c r="B191" s="1" t="n"/>
      <c r="C191" s="1" t="n"/>
      <c r="D191" s="1" t="n"/>
      <c r="E191" s="1" t="n"/>
      <c r="F191" s="1" t="n"/>
      <c r="G191" s="20" t="n"/>
      <c r="H191" s="21">
        <f>IF(G191="","",SUMIFS(OH_Qty,OH_Item,G191))</f>
      </c>
      <c r="I191" s="1">
        <f>IF(G191="","",IF(COUNTIFS(OH_Item,G191)=0,"NO EXISTE","OK"))</f>
      </c>
    </row>
    <row r="192">
      <c r="A192" s="1" t="n"/>
      <c r="B192" s="1" t="n"/>
      <c r="C192" s="1" t="n"/>
      <c r="D192" s="1" t="n"/>
      <c r="E192" s="1" t="n"/>
      <c r="F192" s="1" t="n"/>
      <c r="G192" s="20" t="n"/>
      <c r="H192" s="21">
        <f>IF(G192="","",SUMIFS(OH_Qty,OH_Item,G192))</f>
      </c>
      <c r="I192" s="1">
        <f>IF(G192="","",IF(COUNTIFS(OH_Item,G192)=0,"NO EXISTE","OK"))</f>
      </c>
    </row>
    <row r="193">
      <c r="A193" s="1" t="n"/>
      <c r="B193" s="1" t="n"/>
      <c r="C193" s="1" t="n"/>
      <c r="D193" s="1" t="n"/>
      <c r="E193" s="1" t="n"/>
      <c r="F193" s="1" t="n"/>
      <c r="G193" s="20" t="n"/>
      <c r="H193" s="21">
        <f>IF(G193="","",SUMIFS(OH_Qty,OH_Item,G193))</f>
      </c>
      <c r="I193" s="1">
        <f>IF(G193="","",IF(COUNTIFS(OH_Item,G193)=0,"NO EXISTE","OK"))</f>
      </c>
    </row>
    <row r="194">
      <c r="A194" s="1" t="n"/>
      <c r="B194" s="1" t="n"/>
      <c r="C194" s="1" t="n"/>
      <c r="D194" s="1" t="n"/>
      <c r="E194" s="1" t="n"/>
      <c r="F194" s="1" t="n"/>
      <c r="G194" s="20" t="n"/>
      <c r="H194" s="21">
        <f>IF(G194="","",SUMIFS(OH_Qty,OH_Item,G194))</f>
      </c>
      <c r="I194" s="1">
        <f>IF(G194="","",IF(COUNTIFS(OH_Item,G194)=0,"NO EXISTE","OK"))</f>
      </c>
    </row>
    <row r="195">
      <c r="A195" s="1" t="n"/>
      <c r="B195" s="1" t="n"/>
      <c r="C195" s="1" t="n"/>
      <c r="D195" s="1" t="n"/>
      <c r="E195" s="1" t="n"/>
      <c r="F195" s="1" t="n"/>
      <c r="G195" s="20" t="n"/>
      <c r="H195" s="21">
        <f>IF(G195="","",SUMIFS(OH_Qty,OH_Item,G195))</f>
      </c>
      <c r="I195" s="1">
        <f>IF(G195="","",IF(COUNTIFS(OH_Item,G195)=0,"NO EXISTE","OK"))</f>
      </c>
    </row>
    <row r="196">
      <c r="A196" s="1" t="n"/>
      <c r="B196" s="1" t="n"/>
      <c r="C196" s="1" t="n"/>
      <c r="D196" s="1" t="n"/>
      <c r="E196" s="1" t="n"/>
      <c r="F196" s="1" t="n"/>
      <c r="G196" s="20" t="n"/>
      <c r="H196" s="21">
        <f>IF(G196="","",SUMIFS(OH_Qty,OH_Item,G196))</f>
      </c>
      <c r="I196" s="1">
        <f>IF(G196="","",IF(COUNTIFS(OH_Item,G196)=0,"NO EXISTE","OK"))</f>
      </c>
    </row>
    <row r="197">
      <c r="A197" s="1" t="n"/>
      <c r="B197" s="1" t="n"/>
      <c r="C197" s="1" t="n"/>
      <c r="D197" s="1" t="n"/>
      <c r="E197" s="1" t="n"/>
      <c r="F197" s="1" t="n"/>
      <c r="G197" s="20" t="n"/>
      <c r="H197" s="21">
        <f>IF(G197="","",SUMIFS(OH_Qty,OH_Item,G197))</f>
      </c>
      <c r="I197" s="1">
        <f>IF(G197="","",IF(COUNTIFS(OH_Item,G197)=0,"NO EXISTE","OK"))</f>
      </c>
    </row>
    <row r="198">
      <c r="A198" s="1" t="n"/>
      <c r="B198" s="1" t="n"/>
      <c r="C198" s="1" t="n"/>
      <c r="D198" s="1" t="n"/>
      <c r="E198" s="1" t="n"/>
      <c r="F198" s="1" t="n"/>
      <c r="G198" s="20" t="n"/>
      <c r="H198" s="21">
        <f>IF(G198="","",SUMIFS(OH_Qty,OH_Item,G198))</f>
      </c>
      <c r="I198" s="1">
        <f>IF(G198="","",IF(COUNTIFS(OH_Item,G198)=0,"NO EXISTE","OK"))</f>
      </c>
    </row>
    <row r="199">
      <c r="A199" s="1" t="n"/>
      <c r="B199" s="1" t="n"/>
      <c r="C199" s="1" t="n"/>
      <c r="D199" s="1" t="n"/>
      <c r="E199" s="1" t="n"/>
      <c r="F199" s="1" t="n"/>
      <c r="G199" s="20" t="n"/>
      <c r="H199" s="21">
        <f>IF(G199="","",SUMIFS(OH_Qty,OH_Item,G199))</f>
      </c>
      <c r="I199" s="1">
        <f>IF(G199="","",IF(COUNTIFS(OH_Item,G199)=0,"NO EXISTE","OK"))</f>
      </c>
    </row>
    <row r="200">
      <c r="A200" s="1" t="n"/>
      <c r="B200" s="1" t="n"/>
      <c r="C200" s="1" t="n"/>
      <c r="D200" s="1" t="n"/>
      <c r="E200" s="1" t="n"/>
      <c r="F200" s="1" t="n"/>
      <c r="G200" s="20" t="n"/>
      <c r="H200" s="21">
        <f>IF(G200="","",SUMIFS(OH_Qty,OH_Item,G200))</f>
      </c>
      <c r="I200" s="1">
        <f>IF(G200="","",IF(COUNTIFS(OH_Item,G200)=0,"NO EXISTE","OK"))</f>
      </c>
    </row>
  </sheetData>
  <dataValidations count="1">
    <dataValidation sqref="B3" showDropDown="0" showInputMessage="0" showErrorMessage="0" allowBlank="0" type="list">
      <formula1>"Artículo,Contiene,Descripción"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2026-10-05T20:41:40Z</dcterms:created>
  <dcterms:modified xmlns:dcterms="http://purl.org/dc/terms/" xmlns:xsi="http://www.w3.org/2001/XMLSchema-instance" xsi:type="dcterms:W3CDTF">2026-10-05T20:41:40Z</dcterms:modified>
</cp:coreProperties>
</file>